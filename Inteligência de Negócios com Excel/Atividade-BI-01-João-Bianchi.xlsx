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aob\OneDrive\Documents\Projetos\IFPB\BI\"/>
    </mc:Choice>
  </mc:AlternateContent>
  <xr:revisionPtr revIDLastSave="0" documentId="13_ncr:1_{1082A794-D9A5-425D-8F47-75BE753C7C4E}" xr6:coauthVersionLast="47" xr6:coauthVersionMax="47" xr10:uidLastSave="{00000000-0000-0000-0000-000000000000}"/>
  <bookViews>
    <workbookView xWindow="-120" yWindow="-120" windowWidth="24240" windowHeight="13140" xr2:uid="{F9581E2C-A6F9-426D-B9D4-6A68B3BB30AF}"/>
  </bookViews>
  <sheets>
    <sheet name="Dashboard" sheetId="5" r:id="rId1"/>
    <sheet name="Análises" sheetId="6" r:id="rId2"/>
    <sheet name="EDA" sheetId="1" r:id="rId3"/>
    <sheet name="Gráficos Dinâmicos" sheetId="4" r:id="rId4"/>
    <sheet name="Tabelas Dinâmicas" sheetId="3" r:id="rId5"/>
    <sheet name="Dados" sheetId="2" r:id="rId6"/>
  </sheets>
  <definedNames>
    <definedName name="DadosExternos_1" localSheetId="5" hidden="1">Dados!$A$1:$K$301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K22" i="1"/>
  <c r="K21" i="1"/>
  <c r="E18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4" i="3"/>
  <c r="T40" i="3"/>
  <c r="T44" i="3" s="1"/>
  <c r="J9" i="1"/>
  <c r="J8" i="1"/>
  <c r="J7" i="1"/>
  <c r="J6" i="1"/>
  <c r="I9" i="1"/>
  <c r="I8" i="1"/>
  <c r="I7" i="1"/>
  <c r="I6" i="1"/>
  <c r="H9" i="1"/>
  <c r="H8" i="1"/>
  <c r="H7" i="1"/>
  <c r="H6" i="1"/>
  <c r="G9" i="1"/>
  <c r="G8" i="1"/>
  <c r="G7" i="1"/>
  <c r="G6" i="1"/>
  <c r="F9" i="1"/>
  <c r="F8" i="1"/>
  <c r="F7" i="1"/>
  <c r="F6" i="1"/>
  <c r="R44" i="3"/>
  <c r="S44" i="3"/>
  <c r="Q4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4C66-92FB-4569-B858-BCB997BE9028}" keepAlive="1" name="Consulta - Planilha1" description="Conexão com a consulta 'Planilha1' na pasta de trabalho." type="5" refreshedVersion="7" background="1" saveData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<sst xmlns="http://schemas.openxmlformats.org/spreadsheetml/2006/main" count="1462" uniqueCount="150">
  <si>
    <t>ID_Venda</t>
  </si>
  <si>
    <t>Data</t>
  </si>
  <si>
    <t>Produto</t>
  </si>
  <si>
    <t>Categoria</t>
  </si>
  <si>
    <t>Região</t>
  </si>
  <si>
    <t>Vendedor</t>
  </si>
  <si>
    <t>Quantidade</t>
  </si>
  <si>
    <t>Preco_Unitario</t>
  </si>
  <si>
    <t>Custo_Unitario</t>
  </si>
  <si>
    <t>Lucro</t>
  </si>
  <si>
    <t>Receita</t>
  </si>
  <si>
    <t>Impressora F</t>
  </si>
  <si>
    <t>Informática</t>
  </si>
  <si>
    <t>Norte</t>
  </si>
  <si>
    <t>Maria Isis Azevedo</t>
  </si>
  <si>
    <t>Roteador G</t>
  </si>
  <si>
    <t>Eletrônicos</t>
  </si>
  <si>
    <t>Centro-Oeste</t>
  </si>
  <si>
    <t>Bento Mendes</t>
  </si>
  <si>
    <t>Webcam D</t>
  </si>
  <si>
    <t>Redes</t>
  </si>
  <si>
    <t>Sul</t>
  </si>
  <si>
    <t>Agatha Leão</t>
  </si>
  <si>
    <t>Placa de Vídeo J</t>
  </si>
  <si>
    <t>Nordeste</t>
  </si>
  <si>
    <t>Yasmin Souza</t>
  </si>
  <si>
    <t>Notebook X</t>
  </si>
  <si>
    <t>Periféricos</t>
  </si>
  <si>
    <t>Fone E</t>
  </si>
  <si>
    <t>Componentes</t>
  </si>
  <si>
    <t>Yago Sales</t>
  </si>
  <si>
    <t>Mouse C</t>
  </si>
  <si>
    <t>João Pedro Mendes</t>
  </si>
  <si>
    <t>Bento Azevedo</t>
  </si>
  <si>
    <t>Memória I</t>
  </si>
  <si>
    <t>Tablet Z</t>
  </si>
  <si>
    <t>Sudeste</t>
  </si>
  <si>
    <t>Hadassa Cardoso</t>
  </si>
  <si>
    <t>Maria Luiza Martins</t>
  </si>
  <si>
    <t>SSD H</t>
  </si>
  <si>
    <t>Monitor A</t>
  </si>
  <si>
    <t>Smartphone Y</t>
  </si>
  <si>
    <t>Processador K</t>
  </si>
  <si>
    <t>Teclado B</t>
  </si>
  <si>
    <t>Sra. Olívia Pacheco</t>
  </si>
  <si>
    <t>Média</t>
  </si>
  <si>
    <t>Mediana</t>
  </si>
  <si>
    <t>Mínimo</t>
  </si>
  <si>
    <t>Máximo</t>
  </si>
  <si>
    <t>Desvio Padrão</t>
  </si>
  <si>
    <t>Preço Unitário</t>
  </si>
  <si>
    <t>Soma de Receita</t>
  </si>
  <si>
    <t>Rótulos de Linha</t>
  </si>
  <si>
    <t>Total Geral</t>
  </si>
  <si>
    <t>Rótulos de Coluna</t>
  </si>
  <si>
    <t>Soma de Lucro</t>
  </si>
  <si>
    <t>Contagem de Vendedor</t>
  </si>
  <si>
    <t>TOP PRODUTOS POR LUCRO</t>
  </si>
  <si>
    <t>CATEGORIAS E VENDEDORES</t>
  </si>
  <si>
    <t>Soma de Quantidade</t>
  </si>
  <si>
    <t>Receita por 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</si>
  <si>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</si>
  <si>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</si>
  <si>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</si>
  <si>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</si>
  <si>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</si>
  <si>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</si>
  <si>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</si>
  <si>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</si>
  <si>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</si>
  <si>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</si>
  <si>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</si>
  <si>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</si>
  <si>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PERFORMANCE VENDEDORES/MÊS</t>
  </si>
  <si>
    <t>Lucro por região</t>
  </si>
  <si>
    <t>RELATÓRIO DE VENDAS</t>
  </si>
  <si>
    <t>Média de Receita</t>
  </si>
  <si>
    <t>Margem média</t>
  </si>
  <si>
    <t>Trim1</t>
  </si>
  <si>
    <t>Trim2</t>
  </si>
  <si>
    <t>Trim3</t>
  </si>
  <si>
    <t>Trim4</t>
  </si>
  <si>
    <t>Soma de ID_Venda</t>
  </si>
  <si>
    <t>Por que esses produtos são mais lucrativos</t>
  </si>
  <si>
    <t>Margem x Lucro</t>
  </si>
  <si>
    <t>Região Forte</t>
  </si>
  <si>
    <t>Região Fraca</t>
  </si>
  <si>
    <t>Possíveis causas</t>
  </si>
  <si>
    <t>Meses de pico</t>
  </si>
  <si>
    <t>Meses fracos</t>
  </si>
  <si>
    <t>Ciclo anual</t>
  </si>
  <si>
    <t>Produtos</t>
  </si>
  <si>
    <t>Regiões</t>
  </si>
  <si>
    <t>Vendedores</t>
  </si>
  <si>
    <t>Sazonalidade</t>
  </si>
  <si>
    <t>Categoria Premium</t>
  </si>
  <si>
    <t>Eficiência Financeira</t>
  </si>
  <si>
    <t>Margem</t>
  </si>
  <si>
    <t xml:space="preserve">1- </t>
  </si>
  <si>
    <t>Maior margem de lucro: Roteador G 41%</t>
  </si>
  <si>
    <t>Maior quantidade de lucro: Memória I $ 32709,75</t>
  </si>
  <si>
    <t>Para efeito de comparação, os estados do norte vendem quase 50% a mais que os estados do sul.</t>
  </si>
  <si>
    <t xml:space="preserve">Região forte: </t>
  </si>
  <si>
    <t>Região Fraca:</t>
  </si>
  <si>
    <t xml:space="preserve"> Loja está localizada no norte</t>
  </si>
  <si>
    <t>Possíveis causas:</t>
  </si>
  <si>
    <t>Loja vende produtos de origem nortista/nordestina</t>
  </si>
  <si>
    <t>Loja oferece benefícios diferentes para diferentes localidades</t>
  </si>
  <si>
    <t>se extendendo até setembro, e reduz a partir de outubro, indo até o final do verão</t>
  </si>
  <si>
    <t xml:space="preserve">Analisando o contexto do gráfico, acredito ser possível dizer que há um período de pico a partir de junho (início do inverno), </t>
  </si>
  <si>
    <t>4-</t>
  </si>
  <si>
    <t>em cada um dos meses. Em contra partida, nos meses de março, outubro e dezembro tiveram número de vendas abaixo de 3.000</t>
  </si>
  <si>
    <t>Top 3:</t>
  </si>
  <si>
    <t>Soma de Custo_Unitario</t>
  </si>
  <si>
    <t>Soma de Preco_Unitario</t>
  </si>
  <si>
    <t>POR REGIÃO</t>
  </si>
  <si>
    <t xml:space="preserve">3- </t>
  </si>
  <si>
    <t>Nos meses de março, junho, agosto e setembro a quantidade de vendas foi maior do que os demais meses, somando mais de 4.000 vendas</t>
  </si>
  <si>
    <t xml:space="preserve">2- </t>
  </si>
  <si>
    <t>É possível notar que as vendas são maiores nos estados do norte, nordeste e sudeste, enquanto isso são mais baixas no sul e centroeste</t>
  </si>
  <si>
    <t>O roteador G é o produto com a maior margem de lucro (41%), apesar disso, não foi o produto que mais gerou lucro, esse foi o memória I</t>
  </si>
  <si>
    <t>Loja não investiu tanto em branding nos estados do sul e centro-oeste</t>
  </si>
  <si>
    <t>Da mesma forma, entender o qie Yago e Silvia estão fazendo para identificar eventuais gargalos no processo.</t>
  </si>
  <si>
    <r>
      <rPr>
        <b/>
        <sz val="11"/>
        <color theme="1"/>
        <rFont val="Calibri"/>
        <family val="2"/>
        <scheme val="minor"/>
      </rPr>
      <t>Produtos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</si>
  <si>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Regiões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</si>
  <si>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Vendedores</t>
    </r>
    <r>
      <rPr>
        <sz val="11"/>
        <color theme="1"/>
        <rFont val="Calibri"/>
        <family val="2"/>
        <scheme val="minor"/>
      </rPr>
      <t xml:space="preserve">: </t>
    </r>
  </si>
  <si>
    <t xml:space="preserve">Entender qual é a estratégia que o bento mendes utiliza e replicar as melhores práticas para os demais vendedores. </t>
  </si>
  <si>
    <t>Sazonalidade:</t>
  </si>
  <si>
    <t xml:space="preserve">Realizar campanhas de branding para expandir a marca para regiões que vendem menos, talvez focar </t>
  </si>
  <si>
    <t>orçamento para campanhas de tráfego/conversão para a região norte/nordeste.</t>
  </si>
  <si>
    <t xml:space="preserve">Enquanto os produtos tem uma margem média de lucro de 34%, o roteador G tem uma margem 41%, em períodos de alta </t>
  </si>
  <si>
    <t>sazonalidade pode ser interessante realizar campanhas voltadas a esse produto.</t>
  </si>
  <si>
    <t xml:space="preserve">O centro-oeste é a segunda região que mais vendeu, apesar disso é a região que teve menor lucro. </t>
  </si>
  <si>
    <t>Total Soma de ID_Venda</t>
  </si>
  <si>
    <t>Total Soma de Lucro</t>
  </si>
  <si>
    <t>Antecipar as compras antecipadamente para a sazonalidade do mês de março.</t>
  </si>
  <si>
    <t>5-</t>
  </si>
  <si>
    <t>A categoria que tem a melhore relação Receita x Lucro é a de eletrônicos, com 36%, seguida de compenentes e informática com 35% cada, redes</t>
  </si>
  <si>
    <t xml:space="preserve">e pereféricos ficam com 34% e 33% respectivamente. </t>
  </si>
  <si>
    <t>1-</t>
  </si>
  <si>
    <t xml:space="preserve"> Quais os 3 produtos mais rentáveis? Explique:</t>
  </si>
  <si>
    <t>Como varia o lucro por região? Explique:</t>
  </si>
  <si>
    <t>Existe Sazonalidade? Explique:</t>
  </si>
  <si>
    <t xml:space="preserve">4- </t>
  </si>
  <si>
    <t>Que ações o gestor deve tomar baseado nos dados? Explique:</t>
  </si>
  <si>
    <t xml:space="preserve">5- </t>
  </si>
  <si>
    <t>Qual categoria tem melhor relação Receita x Lucro (%)? Explique:</t>
  </si>
  <si>
    <t>Total Vendas</t>
  </si>
  <si>
    <t>Mês</t>
  </si>
  <si>
    <t>Total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</si>
</sst>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3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DDD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/>
      <right/>
      <top style="thin">
        <color theme="9" tint="-0.249977111117893"/>
      </top>
      <bottom style="medium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9" tint="-0.249977111117893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0" fillId="0" borderId="3" xfId="0" applyNumberFormat="1" applyBorder="1" applyAlignment="1">
      <alignment horizontal="center"/>
    </xf>
    <xf numFmtId="14" fontId="0" fillId="0" borderId="0" xfId="0" applyNumberFormat="1"/>
    <xf numFmtId="49" fontId="0" fillId="0" borderId="0" xfId="0" applyNumberFormat="1"/>
    <xf numFmtId="0" fontId="0" fillId="0" borderId="3" xfId="0" applyNumberForma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Border="1"/>
    <xf numFmtId="0" fontId="0" fillId="0" borderId="0" xfId="0" applyNumberFormat="1" applyBorder="1"/>
    <xf numFmtId="0" fontId="1" fillId="7" borderId="20" xfId="0" applyFont="1" applyFill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7" borderId="5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6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pivotButton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3" fillId="6" borderId="2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7" xfId="0" pivotButton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pivotButton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0" xfId="0" pivotButton="1" applyAlignment="1">
      <alignment horizontal="left" vertical="center"/>
    </xf>
    <xf numFmtId="0" fontId="0" fillId="9" borderId="9" xfId="0" applyFill="1" applyBorder="1"/>
    <xf numFmtId="0" fontId="0" fillId="9" borderId="15" xfId="0" applyFill="1" applyBorder="1"/>
    <xf numFmtId="0" fontId="0" fillId="9" borderId="14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13" xfId="0" applyFill="1" applyBorder="1"/>
    <xf numFmtId="0" fontId="0" fillId="9" borderId="16" xfId="0" applyFill="1" applyBorder="1"/>
    <xf numFmtId="0" fontId="0" fillId="9" borderId="10" xfId="0" applyFill="1" applyBorder="1"/>
    <xf numFmtId="0" fontId="0" fillId="6" borderId="9" xfId="0" applyFill="1" applyBorder="1"/>
    <xf numFmtId="0" fontId="0" fillId="6" borderId="15" xfId="0" applyFill="1" applyBorder="1"/>
    <xf numFmtId="0" fontId="0" fillId="6" borderId="14" xfId="0" applyFill="1" applyBorder="1"/>
    <xf numFmtId="0" fontId="0" fillId="6" borderId="17" xfId="0" applyFill="1" applyBorder="1"/>
    <xf numFmtId="0" fontId="0" fillId="6" borderId="0" xfId="0" applyFill="1" applyBorder="1"/>
    <xf numFmtId="0" fontId="0" fillId="6" borderId="18" xfId="0" applyFill="1" applyBorder="1"/>
    <xf numFmtId="0" fontId="0" fillId="6" borderId="13" xfId="0" applyFill="1" applyBorder="1"/>
    <xf numFmtId="0" fontId="0" fillId="6" borderId="16" xfId="0" applyFill="1" applyBorder="1"/>
    <xf numFmtId="0" fontId="0" fillId="6" borderId="10" xfId="0" applyFill="1" applyBorder="1"/>
    <xf numFmtId="0" fontId="0" fillId="6" borderId="0" xfId="0" applyFont="1" applyFill="1" applyBorder="1" applyAlignment="1">
      <alignment horizontal="left"/>
    </xf>
    <xf numFmtId="2" fontId="0" fillId="6" borderId="0" xfId="0" applyNumberFormat="1" applyFont="1" applyFill="1" applyBorder="1" applyAlignment="1">
      <alignment horizontal="left"/>
    </xf>
    <xf numFmtId="9" fontId="0" fillId="6" borderId="0" xfId="0" applyNumberFormat="1" applyFill="1"/>
    <xf numFmtId="0" fontId="0" fillId="6" borderId="0" xfId="0" applyFill="1" applyBorder="1" applyAlignment="1">
      <alignment wrapText="1"/>
    </xf>
    <xf numFmtId="0" fontId="2" fillId="6" borderId="0" xfId="0" applyFont="1" applyFill="1"/>
    <xf numFmtId="0" fontId="0" fillId="10" borderId="9" xfId="0" applyFill="1" applyBorder="1"/>
    <xf numFmtId="0" fontId="0" fillId="10" borderId="15" xfId="0" applyFill="1" applyBorder="1"/>
    <xf numFmtId="0" fontId="0" fillId="10" borderId="14" xfId="0" applyFill="1" applyBorder="1"/>
    <xf numFmtId="0" fontId="0" fillId="10" borderId="17" xfId="0" applyFill="1" applyBorder="1"/>
    <xf numFmtId="0" fontId="0" fillId="10" borderId="0" xfId="0" applyFill="1" applyBorder="1"/>
    <xf numFmtId="0" fontId="0" fillId="10" borderId="0" xfId="0" applyFill="1"/>
    <xf numFmtId="0" fontId="0" fillId="10" borderId="18" xfId="0" applyFill="1" applyBorder="1"/>
    <xf numFmtId="0" fontId="0" fillId="10" borderId="13" xfId="0" applyFill="1" applyBorder="1"/>
    <xf numFmtId="0" fontId="0" fillId="10" borderId="16" xfId="0" applyFill="1" applyBorder="1"/>
    <xf numFmtId="0" fontId="0" fillId="10" borderId="10" xfId="0" applyFill="1" applyBorder="1"/>
    <xf numFmtId="0" fontId="5" fillId="6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6" xfId="0" applyBorder="1"/>
    <xf numFmtId="0" fontId="0" fillId="0" borderId="10" xfId="0" applyBorder="1" applyAlignment="1">
      <alignment horizontal="center"/>
    </xf>
    <xf numFmtId="0" fontId="0" fillId="0" borderId="18" xfId="0" applyBorder="1"/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3" xfId="0" applyFill="1" applyBorder="1"/>
    <xf numFmtId="0" fontId="0" fillId="11" borderId="16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/>
    </xf>
    <xf numFmtId="0" fontId="0" fillId="11" borderId="16" xfId="0" applyFill="1" applyBorder="1"/>
    <xf numFmtId="0" fontId="0" fillId="11" borderId="10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9" borderId="0" xfId="0" applyFill="1"/>
    <xf numFmtId="0" fontId="0" fillId="9" borderId="16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8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9" xfId="0" pivotButton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pivotButton="1" applyBorder="1"/>
    <xf numFmtId="0" fontId="0" fillId="0" borderId="0" xfId="0" pivotButton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/>
    </xf>
  </cellXfs>
  <cellStyles count="2">
    <cellStyle name="Normal" xfId="0" builtinId="0"/>
    <cellStyle name="Porcentagem" xfId="1" builtinId="5"/>
  </cellStyles>
  <dxfs count="59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numFmt numFmtId="2" formatCode="0.00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wrapText="1"/>
    </dxf>
    <dxf>
      <alignment wrapText="1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2" formatCode="0.00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wrapText="1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hair">
          <color indexed="64"/>
        </right>
      </border>
    </dxf>
    <dxf>
      <border>
        <right style="hair">
          <color indexed="64"/>
        </right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dotted">
          <color indexed="64"/>
        </left>
        <right style="dotted">
          <color indexed="64"/>
        </right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2" formatCode="0.00"/>
    </dxf>
    <dxf>
      <border>
        <left style="dotted">
          <color indexed="64"/>
        </left>
        <right style="dotted">
          <color indexed="64"/>
        </right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dotted">
          <color indexed="64"/>
        </left>
        <right style="dotted">
          <color indexed="64"/>
        </right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right style="dotted">
          <color indexed="64"/>
        </right>
      </border>
    </dxf>
    <dxf>
      <border>
        <right style="dotted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2" defaultPivotStyle="PivotStyleLight16"/>
  <colors>
    <mruColors>
      <color rgb="FFFFFFCC"/>
      <color rgb="FFFFDDDD"/>
      <color rgb="FFFFCCCC"/>
      <color rgb="FFF1F8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[Atividade-BI-01-João-Bianchi.xlsx]EDA!Tabela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 5 produtos </a:t>
            </a:r>
          </a:p>
          <a:p>
            <a:pPr algn="r">
              <a:defRPr/>
            </a:pPr>
            <a:r>
              <a:rPr lang="en-US"/>
              <a:t>por lucro</a:t>
            </a:r>
          </a:p>
        </c:rich>
      </c:tx>
      <c:layout>
        <c:manualLayout>
          <c:xMode val="edge"/>
          <c:yMode val="edge"/>
          <c:x val="0.35633333333333334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EDA!$E$13:$E$18</c:f>
              <c:strCache>
                <c:ptCount val="5"/>
                <c:pt idx="0">
                  <c:v>Memória I</c:v>
                </c:pt>
                <c:pt idx="1">
                  <c:v>Tablet Z</c:v>
                </c:pt>
                <c:pt idx="2">
                  <c:v>Roteador G</c:v>
                </c:pt>
                <c:pt idx="3">
                  <c:v>Fone E</c:v>
                </c:pt>
                <c:pt idx="4">
                  <c:v>SSD H</c:v>
                </c:pt>
              </c:strCache>
            </c:strRef>
          </c:cat>
          <c:val>
            <c:numRef>
              <c:f>EDA!$F$13:$F$18</c:f>
              <c:numCache>
                <c:formatCode>0.00</c:formatCode>
                <c:ptCount val="5"/>
                <c:pt idx="0">
                  <c:v>32709.754000000004</c:v>
                </c:pt>
                <c:pt idx="1">
                  <c:v>32544.749999999993</c:v>
                </c:pt>
                <c:pt idx="2">
                  <c:v>30512.235999999997</c:v>
                </c:pt>
                <c:pt idx="3">
                  <c:v>25660.555999999997</c:v>
                </c:pt>
                <c:pt idx="4">
                  <c:v>25039.691999999999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3-48F7-B645-3E64B77CB3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28253695"/>
        <c:axId val="2028255359"/>
      </c:barChart>
      <c:catAx>
        <c:axId val="20282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255359"/>
        <c:crosses val="autoZero"/>
        <c:auto val="1"/>
        <c:lblAlgn val="ctr"/>
        <c:lblOffset val="100"/>
        <c:noMultiLvlLbl val="0"/>
      </c:catAx>
      <c:valAx>
        <c:axId val="20282553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2825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[Atividade-BI-01-João-Bianchi.xlsx]Tabelas Dinâmicas!Tabela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/>
                </a:solidFill>
              </a:rPr>
              <a:t>Lucro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Dinâmicas'!$Q$5:$Q$10</c:f>
              <c:strCache>
                <c:ptCount val="5"/>
                <c:pt idx="0">
                  <c:v>Centro-Oeste</c:v>
                </c:pt>
                <c:pt idx="1">
                  <c:v>Sul</c:v>
                </c:pt>
                <c:pt idx="2">
                  <c:v>Nordeste</c:v>
                </c:pt>
                <c:pt idx="3">
                  <c:v>Sudeste</c:v>
                </c:pt>
                <c:pt idx="4">
                  <c:v>Norte</c:v>
                </c:pt>
              </c:strCache>
            </c:strRef>
          </c:cat>
          <c:val>
            <c:numRef>
              <c:f>'Tabelas Dinâmicas'!$R$5:$R$10</c:f>
              <c:numCache>
                <c:formatCode>0.00</c:formatCode>
                <c:ptCount val="5"/>
                <c:pt idx="0">
                  <c:v>56580.801999999974</c:v>
                </c:pt>
                <c:pt idx="1">
                  <c:v>57992.415999999997</c:v>
                </c:pt>
                <c:pt idx="2">
                  <c:v>64846.765999999989</c:v>
                </c:pt>
                <c:pt idx="3">
                  <c:v>65792.540000000023</c:v>
                </c:pt>
                <c:pt idx="4">
                  <c:v>78198.755999999994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6-4C34-87D9-F21CACE539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37896592"/>
        <c:axId val="1937874128"/>
      </c:barChart>
      <c:catAx>
        <c:axId val="193789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7874128"/>
        <c:crosses val="autoZero"/>
        <c:auto val="1"/>
        <c:lblAlgn val="ctr"/>
        <c:lblOffset val="100"/>
        <c:noMultiLvlLbl val="0"/>
      </c:catAx>
      <c:valAx>
        <c:axId val="193787412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9378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/>
                </a:solidFill>
              </a:rPr>
              <a:t>Vendas e Tendência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3859</c:v>
              </c:pt>
              <c:pt idx="1">
                <c:v>3185</c:v>
              </c:pt>
              <c:pt idx="2">
                <c:v>5396</c:v>
              </c:pt>
              <c:pt idx="3">
                <c:v>3244</c:v>
              </c:pt>
              <c:pt idx="4">
                <c:v>2850</c:v>
              </c:pt>
              <c:pt idx="5">
                <c:v>4677</c:v>
              </c:pt>
              <c:pt idx="6">
                <c:v>3723</c:v>
              </c:pt>
              <c:pt idx="7">
                <c:v>4499</c:v>
              </c:pt>
              <c:pt idx="8">
                <c:v>5187</c:v>
              </c:pt>
              <c:pt idx="9">
                <c:v>2212</c:v>
              </c:pt>
              <c:pt idx="10">
                <c:v>3936</c:v>
              </c:pt>
              <c:pt idx="11">
                <c:v>2382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D8D-44A1-B930-7A8DED313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445967"/>
        <c:axId val="1356446799"/>
      </c:lineChart>
      <c:catAx>
        <c:axId val="13564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446799"/>
        <c:crosses val="autoZero"/>
        <c:auto val="1"/>
        <c:lblAlgn val="ctr"/>
        <c:lblOffset val="100"/>
        <c:noMultiLvlLbl val="0"/>
      </c:catAx>
      <c:valAx>
        <c:axId val="135644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4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[Atividade-BI-01-João-Bianchi.xlsx]Tabelas Dinâmicas!Tabela dinâmica6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Ranking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Dinâmicas'!$B$41:$B$51</c:f>
              <c:strCache>
                <c:ptCount val="10"/>
                <c:pt idx="0">
                  <c:v>Sra. Olívia Pacheco</c:v>
                </c:pt>
                <c:pt idx="1">
                  <c:v>Yago Sales</c:v>
                </c:pt>
                <c:pt idx="2">
                  <c:v>Agatha Leão</c:v>
                </c:pt>
                <c:pt idx="3">
                  <c:v>Bento Azevedo</c:v>
                </c:pt>
                <c:pt idx="4">
                  <c:v>Maria Luiza Martins</c:v>
                </c:pt>
                <c:pt idx="5">
                  <c:v>Hadassa Cardoso</c:v>
                </c:pt>
                <c:pt idx="6">
                  <c:v>Yasmin Souza</c:v>
                </c:pt>
                <c:pt idx="7">
                  <c:v>Maria Isis Azevedo</c:v>
                </c:pt>
                <c:pt idx="8">
                  <c:v>João Pedro Mendes</c:v>
                </c:pt>
                <c:pt idx="9">
                  <c:v>Bento Mendes</c:v>
                </c:pt>
              </c:strCache>
            </c:strRef>
          </c:cat>
          <c:val>
            <c:numRef>
              <c:f>'Tabelas Dinâmicas'!$C$41:$C$51</c:f>
              <c:numCache>
                <c:formatCode>0.00</c:formatCode>
                <c:ptCount val="10"/>
                <c:pt idx="0">
                  <c:v>23568.284</c:v>
                </c:pt>
                <c:pt idx="1">
                  <c:v>23989.152000000006</c:v>
                </c:pt>
                <c:pt idx="2">
                  <c:v>27960.573999999993</c:v>
                </c:pt>
                <c:pt idx="3">
                  <c:v>28018.05</c:v>
                </c:pt>
                <c:pt idx="4">
                  <c:v>31378.573999999993</c:v>
                </c:pt>
                <c:pt idx="5">
                  <c:v>32247.142000000007</c:v>
                </c:pt>
                <c:pt idx="6">
                  <c:v>34848.556000000011</c:v>
                </c:pt>
                <c:pt idx="7">
                  <c:v>35528.863999999994</c:v>
                </c:pt>
                <c:pt idx="8">
                  <c:v>37646.328000000009</c:v>
                </c:pt>
                <c:pt idx="9">
                  <c:v>48225.755999999994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21-48B8-8C08-CEDFCD514E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62213455"/>
        <c:axId val="1162212207"/>
      </c:barChart>
      <c:catAx>
        <c:axId val="116221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2212207"/>
        <c:crosses val="autoZero"/>
        <c:auto val="1"/>
        <c:lblAlgn val="ctr"/>
        <c:lblOffset val="100"/>
        <c:noMultiLvlLbl val="0"/>
      </c:catAx>
      <c:valAx>
        <c:axId val="1162212207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16221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[Atividade-BI-01-João-Bianchi.xlsx]Tabelas Dinâmicas!Tabela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Vendas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Dinâmicas'!$N$4:$N$16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Dinâmicas'!$O$4:$O$16</c:f>
              <c:numCache>
                <c:formatCode>General</c:formatCode>
                <c:ptCount val="12"/>
                <c:pt idx="0">
                  <c:v>3859</c:v>
                </c:pt>
                <c:pt idx="1">
                  <c:v>3185</c:v>
                </c:pt>
                <c:pt idx="2">
                  <c:v>5396</c:v>
                </c:pt>
                <c:pt idx="3">
                  <c:v>3244</c:v>
                </c:pt>
                <c:pt idx="4">
                  <c:v>2850</c:v>
                </c:pt>
                <c:pt idx="5">
                  <c:v>4677</c:v>
                </c:pt>
                <c:pt idx="6">
                  <c:v>3723</c:v>
                </c:pt>
                <c:pt idx="7">
                  <c:v>4499</c:v>
                </c:pt>
                <c:pt idx="8">
                  <c:v>5187</c:v>
                </c:pt>
                <c:pt idx="9">
                  <c:v>2212</c:v>
                </c:pt>
                <c:pt idx="10">
                  <c:v>3936</c:v>
                </c:pt>
                <c:pt idx="11">
                  <c:v>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4B-4B38-92F5-2F61E1F80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332431"/>
        <c:axId val="1292343247"/>
      </c:barChart>
      <c:catAx>
        <c:axId val="129233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43247"/>
        <c:crosses val="autoZero"/>
        <c:auto val="1"/>
        <c:lblAlgn val="ctr"/>
        <c:lblOffset val="100"/>
        <c:noMultiLvlLbl val="0"/>
      </c:catAx>
      <c:valAx>
        <c:axId val="12923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3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[Atividade-BI-01-João-Bianchi.xlsx]Tabelas Dinâmicas!Tabela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5 produtos por receita</a:t>
            </a:r>
            <a:endParaRPr lang="en-US" b="1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Dinâmicas'!$C$3</c:f>
              <c:strCache>
                <c:ptCount val="1"/>
                <c:pt idx="0">
                  <c:v>Soma de Lucro</c:v>
                </c:pt>
              </c:strCache>
            </c:strRef>
          </c:tx>
          <c:invertIfNegative val="0"/>
          <c:cat>
            <c:strRef>
              <c:f>'Tabelas Dinâmicas'!$B$4:$B$18</c:f>
              <c:strCache>
                <c:ptCount val="14"/>
                <c:pt idx="0">
                  <c:v>Memória I</c:v>
                </c:pt>
                <c:pt idx="1">
                  <c:v>Tablet Z</c:v>
                </c:pt>
                <c:pt idx="2">
                  <c:v>Roteador G</c:v>
                </c:pt>
                <c:pt idx="3">
                  <c:v>Fone E</c:v>
                </c:pt>
                <c:pt idx="4">
                  <c:v>SSD H</c:v>
                </c:pt>
                <c:pt idx="5">
                  <c:v>Placa de Vídeo J</c:v>
                </c:pt>
                <c:pt idx="6">
                  <c:v>Notebook X</c:v>
                </c:pt>
                <c:pt idx="7">
                  <c:v>Impressora F</c:v>
                </c:pt>
                <c:pt idx="8">
                  <c:v>Processador K</c:v>
                </c:pt>
                <c:pt idx="9">
                  <c:v>Webcam D</c:v>
                </c:pt>
                <c:pt idx="10">
                  <c:v>Mouse C</c:v>
                </c:pt>
                <c:pt idx="11">
                  <c:v>Teclado B</c:v>
                </c:pt>
                <c:pt idx="12">
                  <c:v>Smartphone Y</c:v>
                </c:pt>
                <c:pt idx="13">
                  <c:v>Monitor A</c:v>
                </c:pt>
              </c:strCache>
            </c:strRef>
          </c:cat>
          <c:val>
            <c:numRef>
              <c:f>'Tabelas Dinâmicas'!$C$4:$C$18</c:f>
              <c:numCache>
                <c:formatCode>0.00</c:formatCode>
                <c:ptCount val="14"/>
                <c:pt idx="0">
                  <c:v>32709.754000000004</c:v>
                </c:pt>
                <c:pt idx="1">
                  <c:v>32544.749999999993</c:v>
                </c:pt>
                <c:pt idx="2">
                  <c:v>30512.235999999997</c:v>
                </c:pt>
                <c:pt idx="3">
                  <c:v>25660.555999999997</c:v>
                </c:pt>
                <c:pt idx="4">
                  <c:v>25039.691999999999</c:v>
                </c:pt>
                <c:pt idx="5">
                  <c:v>24032.519999999997</c:v>
                </c:pt>
                <c:pt idx="6">
                  <c:v>23124.851999999999</c:v>
                </c:pt>
                <c:pt idx="7">
                  <c:v>22598.761999999999</c:v>
                </c:pt>
                <c:pt idx="8">
                  <c:v>21301.498</c:v>
                </c:pt>
                <c:pt idx="9">
                  <c:v>21040.648000000001</c:v>
                </c:pt>
                <c:pt idx="10">
                  <c:v>20259.826000000005</c:v>
                </c:pt>
                <c:pt idx="11">
                  <c:v>18612.147999999994</c:v>
                </c:pt>
                <c:pt idx="12">
                  <c:v>16038.513999999999</c:v>
                </c:pt>
                <c:pt idx="13">
                  <c:v>9935.5239999999994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976-49A2-A37E-A065AB02E851}"/>
            </c:ext>
          </c:extLst>
        </c:ser>
        <c:ser>
          <c:idx val="1"/>
          <c:order val="1"/>
          <c:tx>
            <c:strRef>
              <c:f>'Tabelas Dinâmicas'!$D$3</c:f>
              <c:strCache>
                <c:ptCount val="1"/>
                <c:pt idx="0">
                  <c:v>Soma de Receita</c:v>
                </c:pt>
              </c:strCache>
            </c:strRef>
          </c:tx>
          <c:invertIfNegative val="0"/>
          <c:cat>
            <c:strRef>
              <c:f>'Tabelas Dinâmicas'!$B$4:$B$18</c:f>
              <c:strCache>
                <c:ptCount val="14"/>
                <c:pt idx="0">
                  <c:v>Memória I</c:v>
                </c:pt>
                <c:pt idx="1">
                  <c:v>Tablet Z</c:v>
                </c:pt>
                <c:pt idx="2">
                  <c:v>Roteador G</c:v>
                </c:pt>
                <c:pt idx="3">
                  <c:v>Fone E</c:v>
                </c:pt>
                <c:pt idx="4">
                  <c:v>SSD H</c:v>
                </c:pt>
                <c:pt idx="5">
                  <c:v>Placa de Vídeo J</c:v>
                </c:pt>
                <c:pt idx="6">
                  <c:v>Notebook X</c:v>
                </c:pt>
                <c:pt idx="7">
                  <c:v>Impressora F</c:v>
                </c:pt>
                <c:pt idx="8">
                  <c:v>Processador K</c:v>
                </c:pt>
                <c:pt idx="9">
                  <c:v>Webcam D</c:v>
                </c:pt>
                <c:pt idx="10">
                  <c:v>Mouse C</c:v>
                </c:pt>
                <c:pt idx="11">
                  <c:v>Teclado B</c:v>
                </c:pt>
                <c:pt idx="12">
                  <c:v>Smartphone Y</c:v>
                </c:pt>
                <c:pt idx="13">
                  <c:v>Monitor A</c:v>
                </c:pt>
              </c:strCache>
            </c:strRef>
          </c:cat>
          <c:val>
            <c:numRef>
              <c:f>'Tabelas Dinâmicas'!$D$4:$D$18</c:f>
              <c:numCache>
                <c:formatCode>0.00</c:formatCode>
                <c:ptCount val="14"/>
                <c:pt idx="0">
                  <c:v>85927.382000000041</c:v>
                </c:pt>
                <c:pt idx="1">
                  <c:v>93440.101999999984</c:v>
                </c:pt>
                <c:pt idx="2">
                  <c:v>73712.847999999998</c:v>
                </c:pt>
                <c:pt idx="3">
                  <c:v>71489.123999999982</c:v>
                </c:pt>
                <c:pt idx="4">
                  <c:v>72907.285999999978</c:v>
                </c:pt>
                <c:pt idx="5">
                  <c:v>63714.661999999997</c:v>
                </c:pt>
                <c:pt idx="6">
                  <c:v>72780.092000000019</c:v>
                </c:pt>
                <c:pt idx="7">
                  <c:v>60907.219999999994</c:v>
                </c:pt>
                <c:pt idx="8">
                  <c:v>67269.698000000004</c:v>
                </c:pt>
                <c:pt idx="9">
                  <c:v>62780.329999999987</c:v>
                </c:pt>
                <c:pt idx="10">
                  <c:v>67048.099999999991</c:v>
                </c:pt>
                <c:pt idx="11">
                  <c:v>54699.010000000009</c:v>
                </c:pt>
                <c:pt idx="12">
                  <c:v>53166.815999999992</c:v>
                </c:pt>
                <c:pt idx="13">
                  <c:v>31695.802000000003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1-4FC3-98C7-19489C9B3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7930704"/>
        <c:axId val="1937928208"/>
      </c:barChart>
      <c:catAx>
        <c:axId val="193793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7928208"/>
        <c:crosses val="autoZero"/>
        <c:auto val="1"/>
        <c:lblAlgn val="ctr"/>
        <c:lblOffset val="100"/>
        <c:noMultiLvlLbl val="0"/>
      </c:catAx>
      <c:valAx>
        <c:axId val="1937928208"/>
        <c:scaling>
          <c:orientation val="minMax"/>
        </c:scaling>
        <c:delete val="0"/>
        <c:axPos val="l"/>
        <c:majorGridlines/>
        <c:title>
          <c:overlay val="0"/>
        </c:title>
        <c:numFmt formatCode="0.00" sourceLinked="1"/>
        <c:majorTickMark val="none"/>
        <c:minorTickMark val="none"/>
        <c:tickLblPos val="nextTo"/>
        <c:crossAx val="193793070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[Atividade-BI-01-João-Bianchi.xlsx]Tabelas Dinâmicas!Tabela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Lucro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Dinâmicas'!$Q$5:$Q$10</c:f>
              <c:strCache>
                <c:ptCount val="5"/>
                <c:pt idx="0">
                  <c:v>Centro-Oeste</c:v>
                </c:pt>
                <c:pt idx="1">
                  <c:v>Sul</c:v>
                </c:pt>
                <c:pt idx="2">
                  <c:v>Nordeste</c:v>
                </c:pt>
                <c:pt idx="3">
                  <c:v>Sudeste</c:v>
                </c:pt>
                <c:pt idx="4">
                  <c:v>Norte</c:v>
                </c:pt>
              </c:strCache>
            </c:strRef>
          </c:cat>
          <c:val>
            <c:numRef>
              <c:f>'Tabelas Dinâmicas'!$R$5:$R$10</c:f>
              <c:numCache>
                <c:formatCode>0.00</c:formatCode>
                <c:ptCount val="5"/>
                <c:pt idx="0">
                  <c:v>56580.801999999974</c:v>
                </c:pt>
                <c:pt idx="1">
                  <c:v>57992.415999999997</c:v>
                </c:pt>
                <c:pt idx="2">
                  <c:v>64846.765999999989</c:v>
                </c:pt>
                <c:pt idx="3">
                  <c:v>65792.540000000023</c:v>
                </c:pt>
                <c:pt idx="4">
                  <c:v>78198.755999999994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4-4996-91C9-4879CB94C9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37896592"/>
        <c:axId val="1937874128"/>
      </c:barChart>
      <c:catAx>
        <c:axId val="193789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7874128"/>
        <c:crosses val="autoZero"/>
        <c:auto val="1"/>
        <c:lblAlgn val="ctr"/>
        <c:lblOffset val="100"/>
        <c:noMultiLvlLbl val="0"/>
      </c:catAx>
      <c:valAx>
        <c:axId val="193787412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9378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Vendas e</a:t>
            </a:r>
            <a:r>
              <a:rPr lang="en-US" b="1" baseline="0">
                <a:solidFill>
                  <a:schemeClr val="tx1"/>
                </a:solidFill>
              </a:rPr>
              <a:t> Tendência</a:t>
            </a:r>
          </a:p>
        </c:rich>
      </c:tx>
      <c:layout>
        <c:manualLayout>
          <c:xMode val="edge"/>
          <c:yMode val="edge"/>
          <c:x val="0.36293193717277483"/>
          <c:y val="5.7452002173197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3859</c:v>
              </c:pt>
              <c:pt idx="1">
                <c:v>3185</c:v>
              </c:pt>
              <c:pt idx="2">
                <c:v>5396</c:v>
              </c:pt>
              <c:pt idx="3">
                <c:v>3244</c:v>
              </c:pt>
              <c:pt idx="4">
                <c:v>2850</c:v>
              </c:pt>
              <c:pt idx="5">
                <c:v>4677</c:v>
              </c:pt>
              <c:pt idx="6">
                <c:v>3723</c:v>
              </c:pt>
              <c:pt idx="7">
                <c:v>4499</c:v>
              </c:pt>
              <c:pt idx="8">
                <c:v>5187</c:v>
              </c:pt>
              <c:pt idx="9">
                <c:v>2212</c:v>
              </c:pt>
              <c:pt idx="10">
                <c:v>3936</c:v>
              </c:pt>
              <c:pt idx="11">
                <c:v>2382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9A8-4011-8E23-07FD752EF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445967"/>
        <c:axId val="1356446799"/>
      </c:lineChart>
      <c:catAx>
        <c:axId val="13564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446799"/>
        <c:crosses val="autoZero"/>
        <c:auto val="1"/>
        <c:lblAlgn val="ctr"/>
        <c:lblOffset val="100"/>
        <c:noMultiLvlLbl val="0"/>
      </c:catAx>
      <c:valAx>
        <c:axId val="13564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4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[Atividade-BI-01-João-Bianchi.xlsx]Tabelas Dinâmicas!Tabela dinâmica6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Dinâmicas'!$B$41:$B$51</c:f>
              <c:strCache>
                <c:ptCount val="10"/>
                <c:pt idx="0">
                  <c:v>Sra. Olívia Pacheco</c:v>
                </c:pt>
                <c:pt idx="1">
                  <c:v>Yago Sales</c:v>
                </c:pt>
                <c:pt idx="2">
                  <c:v>Agatha Leão</c:v>
                </c:pt>
                <c:pt idx="3">
                  <c:v>Bento Azevedo</c:v>
                </c:pt>
                <c:pt idx="4">
                  <c:v>Maria Luiza Martins</c:v>
                </c:pt>
                <c:pt idx="5">
                  <c:v>Hadassa Cardoso</c:v>
                </c:pt>
                <c:pt idx="6">
                  <c:v>Yasmin Souza</c:v>
                </c:pt>
                <c:pt idx="7">
                  <c:v>Maria Isis Azevedo</c:v>
                </c:pt>
                <c:pt idx="8">
                  <c:v>João Pedro Mendes</c:v>
                </c:pt>
                <c:pt idx="9">
                  <c:v>Bento Mendes</c:v>
                </c:pt>
              </c:strCache>
            </c:strRef>
          </c:cat>
          <c:val>
            <c:numRef>
              <c:f>'Tabelas Dinâmicas'!$C$41:$C$51</c:f>
              <c:numCache>
                <c:formatCode>0.00</c:formatCode>
                <c:ptCount val="10"/>
                <c:pt idx="0">
                  <c:v>23568.284</c:v>
                </c:pt>
                <c:pt idx="1">
                  <c:v>23989.152000000006</c:v>
                </c:pt>
                <c:pt idx="2">
                  <c:v>27960.573999999993</c:v>
                </c:pt>
                <c:pt idx="3">
                  <c:v>28018.05</c:v>
                </c:pt>
                <c:pt idx="4">
                  <c:v>31378.573999999993</c:v>
                </c:pt>
                <c:pt idx="5">
                  <c:v>32247.142000000007</c:v>
                </c:pt>
                <c:pt idx="6">
                  <c:v>34848.556000000011</c:v>
                </c:pt>
                <c:pt idx="7">
                  <c:v>35528.863999999994</c:v>
                </c:pt>
                <c:pt idx="8">
                  <c:v>37646.328000000009</c:v>
                </c:pt>
                <c:pt idx="9">
                  <c:v>48225.755999999994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3-49C7-A3AA-C2DB0408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2213455"/>
        <c:axId val="1162212207"/>
      </c:barChart>
      <c:catAx>
        <c:axId val="116221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2212207"/>
        <c:crosses val="autoZero"/>
        <c:auto val="1"/>
        <c:lblAlgn val="ctr"/>
        <c:lblOffset val="100"/>
        <c:noMultiLvlLbl val="0"/>
      </c:catAx>
      <c:valAx>
        <c:axId val="116221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221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[Atividade-BI-01-João-Bianchi.xlsx]Tabelas Dinâmicas!Tabela dinâmica8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Dinâmicas'!$H$3:$H$5</c:f>
              <c:strCache>
                <c:ptCount val="1"/>
                <c:pt idx="0">
                  <c:v>Trim1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Dinâmicas'!$G$6:$G$18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Dinâmicas'!$H$6:$H$18</c:f>
              <c:numCache>
                <c:formatCode>General</c:formatCode>
                <c:ptCount val="12"/>
                <c:pt idx="0">
                  <c:v>3859</c:v>
                </c:pt>
                <c:pt idx="1">
                  <c:v>3185</c:v>
                </c:pt>
                <c:pt idx="2">
                  <c:v>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1-4B7D-BF6F-EB1FCB656D1D}"/>
            </c:ext>
          </c:extLst>
        </c:ser>
        <c:ser>
          <c:idx val="1"/>
          <c:order val="1"/>
          <c:tx>
            <c:strRef>
              <c:f>'Tabelas Dinâmicas'!$I$3:$I$5</c:f>
              <c:strCache>
                <c:ptCount val="1"/>
                <c:pt idx="0">
                  <c:v>Trim2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'Tabelas Dinâmicas'!$G$6:$G$18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Dinâmicas'!$I$6:$I$18</c:f>
              <c:numCache>
                <c:formatCode>General</c:formatCode>
                <c:ptCount val="12"/>
                <c:pt idx="3">
                  <c:v>3244</c:v>
                </c:pt>
                <c:pt idx="4">
                  <c:v>2850</c:v>
                </c:pt>
                <c:pt idx="5">
                  <c:v>4677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1-4B7D-BF6F-EB1FCB656D1D}"/>
            </c:ext>
          </c:extLst>
        </c:ser>
        <c:ser>
          <c:idx val="2"/>
          <c:order val="2"/>
          <c:tx>
            <c:strRef>
              <c:f>'Tabelas Dinâmicas'!$J$3:$J$5</c:f>
              <c:strCache>
                <c:ptCount val="1"/>
                <c:pt idx="0">
                  <c:v>Trim3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'Tabelas Dinâmicas'!$G$6:$G$18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Dinâmicas'!$J$6:$J$18</c:f>
              <c:numCache>
                <c:formatCode>General</c:formatCode>
                <c:ptCount val="12"/>
                <c:pt idx="6">
                  <c:v>3723</c:v>
                </c:pt>
                <c:pt idx="7">
                  <c:v>4499</c:v>
                </c:pt>
                <c:pt idx="8">
                  <c:v>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41-4B7D-BF6F-EB1FCB656D1D}"/>
            </c:ext>
          </c:extLst>
        </c:ser>
        <c:ser>
          <c:idx val="3"/>
          <c:order val="3"/>
          <c:tx>
            <c:strRef>
              <c:f>'Tabelas Dinâmicas'!$K$3:$K$5</c:f>
              <c:strCache>
                <c:ptCount val="1"/>
                <c:pt idx="0">
                  <c:v>Trim4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'Tabelas Dinâmicas'!$G$6:$G$18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Dinâmicas'!$K$6:$K$18</c:f>
              <c:numCache>
                <c:formatCode>General</c:formatCode>
                <c:ptCount val="12"/>
                <c:pt idx="9">
                  <c:v>2212</c:v>
                </c:pt>
                <c:pt idx="10">
                  <c:v>3936</c:v>
                </c:pt>
                <c:pt idx="11">
                  <c:v>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41-4B7D-BF6F-EB1FCB656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92345327"/>
        <c:axId val="1292339503"/>
      </c:barChart>
      <c:catAx>
        <c:axId val="12923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39503"/>
        <c:crosses val="autoZero"/>
        <c:auto val="1"/>
        <c:lblAlgn val="ctr"/>
        <c:lblOffset val="100"/>
        <c:noMultiLvlLbl val="0"/>
      </c:catAx>
      <c:valAx>
        <c:axId val="12923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180974</xdr:rowOff>
    </xdr:from>
    <xdr:to>
      <xdr:col>26</xdr:col>
      <xdr:colOff>523875</xdr:colOff>
      <xdr:row>6</xdr:row>
      <xdr:rowOff>57149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C592D476-811C-404D-9438-580B483C7907}"/>
            </a:ext>
          </a:extLst>
        </xdr:cNvPr>
        <xdr:cNvGrpSpPr/>
      </xdr:nvGrpSpPr>
      <xdr:grpSpPr>
        <a:xfrm>
          <a:off x="1505510" y="685239"/>
          <a:ext cx="14751424" cy="828675"/>
          <a:chOff x="942974" y="942976"/>
          <a:chExt cx="15849601" cy="1019174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370B35F8-BCAC-4E07-8821-AD131E7A3373}"/>
              </a:ext>
            </a:extLst>
          </xdr:cNvPr>
          <xdr:cNvGrpSpPr/>
        </xdr:nvGrpSpPr>
        <xdr:grpSpPr>
          <a:xfrm>
            <a:off x="942974" y="952501"/>
            <a:ext cx="3086101" cy="1000124"/>
            <a:chOff x="942974" y="952501"/>
            <a:chExt cx="3086101" cy="1000124"/>
          </a:xfrm>
        </xdr:grpSpPr>
        <xdr:sp macro="" textlink="'Tabelas Dinâmicas'!Q44">
          <xdr:nvSpPr>
            <xdr:cNvPr id="2" name="Retângulo: Cantos Arredondados 1">
              <a:extLst>
                <a:ext uri="{FF2B5EF4-FFF2-40B4-BE49-F238E27FC236}">
                  <a16:creationId xmlns:a16="http://schemas.microsoft.com/office/drawing/2014/main" id="{A3B9F22D-F6BB-4FA4-8404-732A344CE6FB}"/>
                </a:ext>
              </a:extLst>
            </xdr:cNvPr>
            <xdr:cNvSpPr/>
          </xdr:nvSpPr>
          <xdr:spPr>
            <a:xfrm>
              <a:off x="942974" y="952501"/>
              <a:ext cx="3086101" cy="1000124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7746408D-935A-4A52-AC10-00313D4AABD4}" type="TxLink">
                <a:rPr lang="en-US" sz="32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R$ 931.538,47</a:t>
              </a:fld>
              <a:endParaRPr lang="pt-BR" sz="3200"/>
            </a:p>
          </xdr:txBody>
        </xdr:sp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9C7FEEE3-4D60-4920-9469-CBC28E3369F3}"/>
                </a:ext>
              </a:extLst>
            </xdr:cNvPr>
            <xdr:cNvSpPr txBox="1"/>
          </xdr:nvSpPr>
          <xdr:spPr>
            <a:xfrm>
              <a:off x="1924050" y="981075"/>
              <a:ext cx="113415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400"/>
                <a:t>Receita</a:t>
              </a:r>
              <a:r>
                <a:rPr lang="pt-BR" sz="1400" baseline="0"/>
                <a:t> Total</a:t>
              </a:r>
              <a:endParaRPr lang="pt-BR" sz="1400"/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1A9A95C2-8F4A-4D4C-A886-871048B57D1C}"/>
              </a:ext>
            </a:extLst>
          </xdr:cNvPr>
          <xdr:cNvGrpSpPr/>
        </xdr:nvGrpSpPr>
        <xdr:grpSpPr>
          <a:xfrm>
            <a:off x="5153024" y="962026"/>
            <a:ext cx="3086101" cy="1000124"/>
            <a:chOff x="5153024" y="962026"/>
            <a:chExt cx="3086101" cy="1000124"/>
          </a:xfrm>
        </xdr:grpSpPr>
        <xdr:sp macro="" textlink="'Tabelas Dinâmicas'!R44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5082F923-FD06-476E-9BDA-24991F58FD3D}"/>
                </a:ext>
              </a:extLst>
            </xdr:cNvPr>
            <xdr:cNvSpPr/>
          </xdr:nvSpPr>
          <xdr:spPr>
            <a:xfrm>
              <a:off x="5153024" y="962026"/>
              <a:ext cx="3086101" cy="1000124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39165894-DB21-4135-BA90-275E6FDE6D16}" type="TxLink">
                <a:rPr lang="en-US" sz="32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R$ 323.411,28</a:t>
              </a:fld>
              <a:endParaRPr lang="pt-BR" sz="3200"/>
            </a:p>
          </xdr:txBody>
        </xdr:sp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27D8A622-2FA7-4828-B81C-BE08F9ECBF87}"/>
                </a:ext>
              </a:extLst>
            </xdr:cNvPr>
            <xdr:cNvSpPr txBox="1"/>
          </xdr:nvSpPr>
          <xdr:spPr>
            <a:xfrm>
              <a:off x="6210300" y="971550"/>
              <a:ext cx="997774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400"/>
                <a:t>Lucro</a:t>
              </a:r>
              <a:r>
                <a:rPr lang="pt-BR" sz="1400" baseline="0"/>
                <a:t> Total</a:t>
              </a:r>
              <a:endParaRPr lang="pt-BR" sz="1400"/>
            </a:p>
          </xdr:txBody>
        </xdr:sp>
      </xdr:grp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A9C5D417-AC6C-4F1F-9AAF-5833FDBDECA8}"/>
              </a:ext>
            </a:extLst>
          </xdr:cNvPr>
          <xdr:cNvGrpSpPr/>
        </xdr:nvGrpSpPr>
        <xdr:grpSpPr>
          <a:xfrm>
            <a:off x="9448799" y="942976"/>
            <a:ext cx="3086101" cy="1000124"/>
            <a:chOff x="9448799" y="942976"/>
            <a:chExt cx="3086101" cy="1000124"/>
          </a:xfrm>
        </xdr:grpSpPr>
        <xdr:sp macro="" textlink="'Tabelas Dinâmicas'!S44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38117345-F89C-42B6-AAE9-6248BFC1661E}"/>
                </a:ext>
              </a:extLst>
            </xdr:cNvPr>
            <xdr:cNvSpPr/>
          </xdr:nvSpPr>
          <xdr:spPr>
            <a:xfrm>
              <a:off x="9448799" y="942976"/>
              <a:ext cx="3086101" cy="1000124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ctr"/>
              <a:fld id="{422A6BE4-53F0-4D9C-8AAF-CC3A3659BE9D}" type="TxLink">
                <a:rPr lang="en-US" sz="32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R$ 3.105,13</a:t>
              </a:fld>
              <a:endParaRPr lang="pt-BR" sz="32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BCE8F146-A0F5-4B67-A3C5-41F84A7787AF}"/>
                </a:ext>
              </a:extLst>
            </xdr:cNvPr>
            <xdr:cNvSpPr txBox="1"/>
          </xdr:nvSpPr>
          <xdr:spPr>
            <a:xfrm>
              <a:off x="10506075" y="962025"/>
              <a:ext cx="1134028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400"/>
                <a:t>Ticket</a:t>
              </a:r>
              <a:r>
                <a:rPr lang="pt-BR" sz="1400" baseline="0"/>
                <a:t> Médio</a:t>
              </a:r>
              <a:endParaRPr lang="pt-BR" sz="1400"/>
            </a:p>
          </xdr:txBody>
        </xdr:sp>
      </xdr:grp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8AE80AA8-158D-4533-95A8-7E88D7D9014D}"/>
              </a:ext>
            </a:extLst>
          </xdr:cNvPr>
          <xdr:cNvGrpSpPr/>
        </xdr:nvGrpSpPr>
        <xdr:grpSpPr>
          <a:xfrm>
            <a:off x="13706474" y="942976"/>
            <a:ext cx="3086101" cy="1000124"/>
            <a:chOff x="13706474" y="942976"/>
            <a:chExt cx="3086101" cy="1000124"/>
          </a:xfrm>
        </xdr:grpSpPr>
        <xdr:sp macro="" textlink="'Tabelas Dinâmicas'!T44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225D2760-FBF1-4749-BCC2-42CFA942B80A}"/>
                </a:ext>
              </a:extLst>
            </xdr:cNvPr>
            <xdr:cNvSpPr/>
          </xdr:nvSpPr>
          <xdr:spPr>
            <a:xfrm>
              <a:off x="13706474" y="942976"/>
              <a:ext cx="3086101" cy="1000124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ctr"/>
              <a:fld id="{083A7BA9-F9FA-427D-B116-C4F93B835D25}" type="TxLink">
                <a:rPr lang="en-US" sz="32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R$ 0,35</a:t>
              </a:fld>
              <a:endParaRPr lang="pt-BR" sz="32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5503AE10-0B54-45F8-AAE8-49A778EF9CE1}"/>
                </a:ext>
              </a:extLst>
            </xdr:cNvPr>
            <xdr:cNvSpPr txBox="1"/>
          </xdr:nvSpPr>
          <xdr:spPr>
            <a:xfrm>
              <a:off x="14639924" y="952501"/>
              <a:ext cx="129888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400"/>
                <a:t>Margem média</a:t>
              </a:r>
            </a:p>
          </xdr:txBody>
        </xdr:sp>
      </xdr:grpSp>
    </xdr:grpSp>
    <xdr:clientData/>
  </xdr:twoCellAnchor>
  <xdr:twoCellAnchor>
    <xdr:from>
      <xdr:col>0</xdr:col>
      <xdr:colOff>342900</xdr:colOff>
      <xdr:row>7</xdr:row>
      <xdr:rowOff>47624</xdr:rowOff>
    </xdr:from>
    <xdr:to>
      <xdr:col>7</xdr:col>
      <xdr:colOff>591208</xdr:colOff>
      <xdr:row>24</xdr:row>
      <xdr:rowOff>4378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53CE5A4-A3F7-40CF-962F-96829C806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324970</xdr:colOff>
      <xdr:row>24</xdr:row>
      <xdr:rowOff>0</xdr:rowOff>
    </xdr:from>
    <xdr:to>
      <xdr:col>16</xdr:col>
      <xdr:colOff>580259</xdr:colOff>
      <xdr:row>43</xdr:row>
      <xdr:rowOff>33617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32E0F08-F71B-4312-ABB4-EA10D188F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21896</xdr:colOff>
      <xdr:row>7</xdr:row>
      <xdr:rowOff>43792</xdr:rowOff>
    </xdr:from>
    <xdr:to>
      <xdr:col>16</xdr:col>
      <xdr:colOff>569311</xdr:colOff>
      <xdr:row>24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C0686A0-2301-4DBC-A55B-E7BB3FA31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525518</xdr:colOff>
      <xdr:row>7</xdr:row>
      <xdr:rowOff>43794</xdr:rowOff>
    </xdr:from>
    <xdr:to>
      <xdr:col>27</xdr:col>
      <xdr:colOff>410780</xdr:colOff>
      <xdr:row>43</xdr:row>
      <xdr:rowOff>21897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5A5A401-3431-4636-BFB0-E3F1618AE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550208</xdr:colOff>
      <xdr:row>3</xdr:row>
      <xdr:rowOff>201706</xdr:rowOff>
    </xdr:from>
    <xdr:to>
      <xdr:col>15</xdr:col>
      <xdr:colOff>81244</xdr:colOff>
      <xdr:row>17</xdr:row>
      <xdr:rowOff>67236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03628C-6268-4AA5-BF7F-BCBF08F7D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18</xdr:row>
      <xdr:rowOff>142875</xdr:rowOff>
    </xdr:from>
    <xdr:to>
      <xdr:col>17</xdr:col>
      <xdr:colOff>590551</xdr:colOff>
      <xdr:row>37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F9E905-5399-4EF2-91CA-796C4F1D0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161926</xdr:colOff>
      <xdr:row>0</xdr:row>
      <xdr:rowOff>161925</xdr:rowOff>
    </xdr:from>
    <xdr:to>
      <xdr:col>8</xdr:col>
      <xdr:colOff>504826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A5AA01-96F2-46C5-9698-E59491B1A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609599</xdr:colOff>
      <xdr:row>0</xdr:row>
      <xdr:rowOff>190499</xdr:rowOff>
    </xdr:from>
    <xdr:to>
      <xdr:col>17</xdr:col>
      <xdr:colOff>581024</xdr:colOff>
      <xdr:row>18</xdr:row>
      <xdr:rowOff>28574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C12ABB9-113C-4AAA-BA9D-082730FC8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66675</xdr:colOff>
      <xdr:row>1</xdr:row>
      <xdr:rowOff>0</xdr:rowOff>
    </xdr:from>
    <xdr:to>
      <xdr:col>28</xdr:col>
      <xdr:colOff>600075</xdr:colOff>
      <xdr:row>37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2A8AF9-0D60-41BE-A791-03087E134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149678</xdr:colOff>
      <xdr:row>38</xdr:row>
      <xdr:rowOff>13607</xdr:rowOff>
    </xdr:from>
    <xdr:to>
      <xdr:col>15</xdr:col>
      <xdr:colOff>204326</xdr:colOff>
      <xdr:row>62</xdr:row>
      <xdr:rowOff>10205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7FC7438-AD59-4724-9E03-3F8A50F62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Bianchi" refreshedDate="46002.054113194441" createdVersion="7" refreshedVersion="7" minRefreshableVersion="3" recordCount="301" xr:uid="{3BAD3578-944D-4C36-B622-0BEA211F9CE2}">
  <cacheSource type="worksheet">
    <worksheetSource ref="A1:K1048576" sheet="Dados"/>
  </cacheSource>
  <cacheFields count="13">
    <cacheField name="ID_Venda" numFmtId="0">
      <sharedItems containsString="0" containsBlank="1" containsNumber="1" containsInteger="1" minValue="1" maxValue="300"/>
    </cacheField>
    <cacheField name="Data" numFmtId="14">
      <sharedItems containsNonDate="0" containsDate="1" containsString="0" containsBlank="1" minDate="2024-12-04T00:00:00" maxDate="2025-12-03T00:00:00" count="203">
        <d v="2025-08-03T00:00:00"/>
        <d v="2025-01-10T00:00:00"/>
        <d v="2025-02-04T00:00:00"/>
        <d v="2025-08-11T00:00:00"/>
        <d v="2025-08-28T00:00:00"/>
        <d v="2025-11-28T00:00:00"/>
        <d v="2024-12-04T00:00:00"/>
        <d v="2025-10-08T00:00:00"/>
        <d v="2025-07-10T00:00:00"/>
        <d v="2025-08-13T00:00:00"/>
        <d v="2025-07-17T00:00:00"/>
        <d v="2025-06-18T00:00:00"/>
        <d v="2025-08-20T00:00:00"/>
        <d v="2025-01-22T00:00:00"/>
        <d v="2025-09-20T00:00:00"/>
        <d v="2025-02-18T00:00:00"/>
        <d v="2025-02-26T00:00:00"/>
        <d v="2025-06-29T00:00:00"/>
        <d v="2025-06-28T00:00:00"/>
        <d v="2025-01-02T00:00:00"/>
        <d v="2025-05-28T00:00:00"/>
        <d v="2025-03-31T00:00:00"/>
        <d v="2025-09-13T00:00:00"/>
        <d v="2025-03-09T00:00:00"/>
        <d v="2025-04-16T00:00:00"/>
        <d v="2025-04-19T00:00:00"/>
        <d v="2025-11-02T00:00:00"/>
        <d v="2025-09-29T00:00:00"/>
        <d v="2025-04-02T00:00:00"/>
        <d v="2025-01-06T00:00:00"/>
        <d v="2024-12-27T00:00:00"/>
        <d v="2025-06-07T00:00:00"/>
        <d v="2025-04-13T00:00:00"/>
        <d v="2025-06-03T00:00:00"/>
        <d v="2025-02-25T00:00:00"/>
        <d v="2025-09-10T00:00:00"/>
        <d v="2025-03-10T00:00:00"/>
        <d v="2025-01-31T00:00:00"/>
        <d v="2025-05-01T00:00:00"/>
        <d v="2025-11-08T00:00:00"/>
        <d v="2025-09-14T00:00:00"/>
        <d v="2025-09-04T00:00:00"/>
        <d v="2025-06-17T00:00:00"/>
        <d v="2025-08-21T00:00:00"/>
        <d v="2025-06-05T00:00:00"/>
        <d v="2025-03-27T00:00:00"/>
        <d v="2025-11-19T00:00:00"/>
        <d v="2025-05-03T00:00:00"/>
        <d v="2025-06-01T00:00:00"/>
        <d v="2025-05-13T00:00:00"/>
        <d v="2025-06-22T00:00:00"/>
        <d v="2025-10-09T00:00:00"/>
        <d v="2025-09-28T00:00:00"/>
        <d v="2025-03-22T00:00:00"/>
        <d v="2025-03-30T00:00:00"/>
        <d v="2025-02-11T00:00:00"/>
        <d v="2025-04-27T00:00:00"/>
        <d v="2025-11-26T00:00:00"/>
        <d v="2025-04-08T00:00:00"/>
        <d v="2025-03-24T00:00:00"/>
        <d v="2025-06-08T00:00:00"/>
        <d v="2025-05-31T00:00:00"/>
        <d v="2024-12-23T00:00:00"/>
        <d v="2025-02-01T00:00:00"/>
        <d v="2025-07-25T00:00:00"/>
        <d v="2025-12-02T00:00:00"/>
        <d v="2025-10-14T00:00:00"/>
        <d v="2025-02-15T00:00:00"/>
        <d v="2025-04-28T00:00:00"/>
        <d v="2025-02-19T00:00:00"/>
        <d v="2025-11-27T00:00:00"/>
        <d v="2025-08-29T00:00:00"/>
        <d v="2025-08-17T00:00:00"/>
        <d v="2025-10-28T00:00:00"/>
        <d v="2025-11-29T00:00:00"/>
        <d v="2025-05-22T00:00:00"/>
        <d v="2025-03-04T00:00:00"/>
        <d v="2025-04-03T00:00:00"/>
        <d v="2024-12-07T00:00:00"/>
        <d v="2025-01-27T00:00:00"/>
        <d v="2025-09-17T00:00:00"/>
        <d v="2025-07-31T00:00:00"/>
        <d v="2025-08-19T00:00:00"/>
        <d v="2025-07-14T00:00:00"/>
        <d v="2024-12-28T00:00:00"/>
        <d v="2025-08-10T00:00:00"/>
        <d v="2025-01-13T00:00:00"/>
        <d v="2025-08-23T00:00:00"/>
        <d v="2024-12-06T00:00:00"/>
        <d v="2025-01-20T00:00:00"/>
        <d v="2025-06-13T00:00:00"/>
        <d v="2025-09-11T00:00:00"/>
        <d v="2025-02-21T00:00:00"/>
        <d v="2025-03-23T00:00:00"/>
        <d v="2025-11-05T00:00:00"/>
        <d v="2025-10-29T00:00:00"/>
        <d v="2025-07-15T00:00:00"/>
        <d v="2025-04-20T00:00:00"/>
        <d v="2025-03-02T00:00:00"/>
        <d v="2025-09-01T00:00:00"/>
        <d v="2024-12-12T00:00:00"/>
        <d v="2025-05-04T00:00:00"/>
        <d v="2025-07-29T00:00:00"/>
        <d v="2025-09-16T00:00:00"/>
        <d v="2025-08-30T00:00:00"/>
        <d v="2025-05-18T00:00:00"/>
        <d v="2025-05-12T00:00:00"/>
        <d v="2025-01-25T00:00:00"/>
        <d v="2025-08-25T00:00:00"/>
        <d v="2025-11-17T00:00:00"/>
        <d v="2025-09-08T00:00:00"/>
        <d v="2025-09-06T00:00:00"/>
        <d v="2025-07-09T00:00:00"/>
        <d v="2025-05-10T00:00:00"/>
        <d v="2025-06-27T00:00:00"/>
        <d v="2025-01-19T00:00:00"/>
        <d v="2025-11-21T00:00:00"/>
        <d v="2025-07-11T00:00:00"/>
        <d v="2025-08-07T00:00:00"/>
        <d v="2025-08-24T00:00:00"/>
        <d v="2025-07-13T00:00:00"/>
        <d v="2025-09-26T00:00:00"/>
        <d v="2025-10-05T00:00:00"/>
        <d v="2024-12-17T00:00:00"/>
        <d v="2025-09-18T00:00:00"/>
        <d v="2025-07-23T00:00:00"/>
        <d v="2024-12-30T00:00:00"/>
        <d v="2025-10-17T00:00:00"/>
        <d v="2025-05-07T00:00:00"/>
        <d v="2025-06-23T00:00:00"/>
        <d v="2025-01-12T00:00:00"/>
        <d v="2025-08-31T00:00:00"/>
        <d v="2025-05-02T00:00:00"/>
        <d v="2025-11-12T00:00:00"/>
        <d v="2025-02-05T00:00:00"/>
        <d v="2025-03-25T00:00:00"/>
        <d v="2024-12-25T00:00:00"/>
        <d v="2025-10-21T00:00:00"/>
        <d v="2025-05-26T00:00:00"/>
        <d v="2025-10-26T00:00:00"/>
        <d v="2025-03-13T00:00:00"/>
        <d v="2025-07-02T00:00:00"/>
        <d v="2025-08-16T00:00:00"/>
        <d v="2025-04-29T00:00:00"/>
        <d v="2025-06-30T00:00:00"/>
        <d v="2025-05-09T00:00:00"/>
        <d v="2025-07-26T00:00:00"/>
        <d v="2025-11-01T00:00:00"/>
        <d v="2025-08-15T00:00:00"/>
        <d v="2025-07-04T00:00:00"/>
        <d v="2025-02-24T00:00:00"/>
        <d v="2024-12-18T00:00:00"/>
        <d v="2024-12-19T00:00:00"/>
        <d v="2025-03-08T00:00:00"/>
        <d v="2025-06-04T00:00:00"/>
        <d v="2025-08-26T00:00:00"/>
        <d v="2025-09-03T00:00:00"/>
        <d v="2024-12-26T00:00:00"/>
        <d v="2025-07-19T00:00:00"/>
        <d v="2025-03-05T00:00:00"/>
        <d v="2025-09-22T00:00:00"/>
        <d v="2025-06-24T00:00:00"/>
        <d v="2025-09-09T00:00:00"/>
        <d v="2025-01-24T00:00:00"/>
        <d v="2025-05-05T00:00:00"/>
        <d v="2025-08-22T00:00:00"/>
        <d v="2025-03-19T00:00:00"/>
        <d v="2025-11-24T00:00:00"/>
        <d v="2025-08-08T00:00:00"/>
        <d v="2025-11-30T00:00:00"/>
        <d v="2024-12-05T00:00:00"/>
        <d v="2025-04-24T00:00:00"/>
        <d v="2025-09-30T00:00:00"/>
        <d v="2025-11-07T00:00:00"/>
        <d v="2025-09-24T00:00:00"/>
        <d v="2025-03-16T00:00:00"/>
        <d v="2025-11-09T00:00:00"/>
        <d v="2025-11-22T00:00:00"/>
        <d v="2025-04-09T00:00:00"/>
        <d v="2025-10-10T00:00:00"/>
        <d v="2025-05-19T00:00:00"/>
        <d v="2025-10-31T00:00:00"/>
        <d v="2025-03-20T00:00:00"/>
        <d v="2025-07-05T00:00:00"/>
        <d v="2025-10-22T00:00:00"/>
        <d v="2025-04-25T00:00:00"/>
        <d v="2025-11-03T00:00:00"/>
        <d v="2025-02-27T00:00:00"/>
        <d v="2025-06-15T00:00:00"/>
        <d v="2025-01-09T00:00:00"/>
        <d v="2025-02-02T00:00:00"/>
        <d v="2025-07-08T00:00:00"/>
        <d v="2025-10-18T00:00:00"/>
        <d v="2025-07-01T00:00:00"/>
        <d v="2025-11-15T00:00:00"/>
        <d v="2025-02-10T00:00:00"/>
        <d v="2025-04-11T00:00:00"/>
        <d v="2025-04-05T00:00:00"/>
        <d v="2025-07-21T00:00:00"/>
        <d v="2025-01-23T00:00:00"/>
        <d v="2025-10-02T00:00:00"/>
        <d v="2025-01-26T00:00:00"/>
        <m/>
      </sharedItems>
      <fieldGroup par="12" base="1">
        <rangePr groupBy="months" startDate="2024-12-04T00:00:00" endDate="2025-12-03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3/12/2025"/>
        </groupItems>
      </fieldGroup>
    </cacheField>
    <cacheField name="Produto" numFmtId="49">
      <sharedItems containsBlank="1" count="15">
        <s v="Impressora F"/>
        <s v="Roteador G"/>
        <s v="Webcam D"/>
        <s v="Placa de Vídeo J"/>
        <s v="Notebook X"/>
        <s v="Fone E"/>
        <s v="Mouse C"/>
        <s v="Memória I"/>
        <s v="Tablet Z"/>
        <s v="SSD H"/>
        <s v="Monitor A"/>
        <s v="Smartphone Y"/>
        <s v="Processador K"/>
        <s v="Teclado B"/>
        <m/>
      </sharedItems>
    </cacheField>
    <cacheField name="Categoria" numFmtId="49">
      <sharedItems containsBlank="1" count="6">
        <s v="Informática"/>
        <s v="Eletrônicos"/>
        <s v="Redes"/>
        <s v="Periféricos"/>
        <s v="Componentes"/>
        <m/>
      </sharedItems>
    </cacheField>
    <cacheField name="Região" numFmtId="49">
      <sharedItems containsBlank="1" count="6">
        <s v="Norte"/>
        <s v="Centro-Oeste"/>
        <s v="Sul"/>
        <s v="Nordeste"/>
        <s v="Sudeste"/>
        <m/>
      </sharedItems>
    </cacheField>
    <cacheField name="Vendedor" numFmtId="49">
      <sharedItems containsBlank="1" count="11">
        <s v="Maria Isis Azevedo"/>
        <s v="Bento Mendes"/>
        <s v="Agatha Leão"/>
        <s v="Yasmin Souza"/>
        <s v="Yago Sales"/>
        <s v="João Pedro Mendes"/>
        <s v="Bento Azevedo"/>
        <s v="Hadassa Cardoso"/>
        <s v="Maria Luiza Martins"/>
        <s v="Sra. Olívia Pacheco"/>
        <m/>
      </sharedItems>
    </cacheField>
    <cacheField name="Quantidade" numFmtId="0">
      <sharedItems containsString="0" containsBlank="1" containsNumber="1" containsInteger="1" minValue="1" maxValue="10"/>
    </cacheField>
    <cacheField name="Preco_Unitario" numFmtId="0">
      <sharedItems containsString="0" containsBlank="1" containsNumber="1" minValue="34.902000000000001" maxValue="994.62199999999996" count="301">
        <n v="986.31200000000001"/>
        <n v="970.78200000000004"/>
        <n v="993.80799999999999"/>
        <n v="943.01199999999994"/>
        <n v="893.68200000000002"/>
        <n v="886.46799999999996"/>
        <n v="983.64599999999996"/>
        <n v="874.12800000000004"/>
        <n v="966.04"/>
        <n v="921.48199999999997"/>
        <n v="907.68200000000002"/>
        <n v="946.87599999999998"/>
        <n v="980.68399999999997"/>
        <n v="937.94799999999998"/>
        <n v="869.27800000000002"/>
        <n v="826.25"/>
        <n v="943.66800000000001"/>
        <n v="773.24199999999996"/>
        <n v="919.64599999999996"/>
        <n v="768.53800000000001"/>
        <n v="757.36400000000003"/>
        <n v="790.31"/>
        <n v="755.1"/>
        <n v="946.95"/>
        <n v="982.04"/>
        <n v="736.35400000000004"/>
        <n v="946.524"/>
        <n v="706.54"/>
        <n v="891.71600000000001"/>
        <n v="698.44799999999998"/>
        <n v="729.57799999999997"/>
        <n v="855.202"/>
        <n v="734.20399999999995"/>
        <n v="634.22"/>
        <n v="678.87199999999996"/>
        <n v="844.28200000000004"/>
        <n v="661.46600000000001"/>
        <n v="822.00599999999997"/>
        <n v="830.25800000000004"/>
        <n v="638.61599999999999"/>
        <n v="713.79399999999998"/>
        <n v="769.44200000000001"/>
        <n v="978.14800000000002"/>
        <n v="984.46600000000001"/>
        <n v="876.78"/>
        <n v="888.572"/>
        <n v="953.17"/>
        <n v="776.74199999999996"/>
        <n v="866.87599999999998"/>
        <n v="692.06200000000001"/>
        <n v="961.73400000000004"/>
        <n v="603.404"/>
        <n v="584.56200000000001"/>
        <n v="824.89400000000001"/>
        <n v="591.71199999999999"/>
        <n v="964.21799999999996"/>
        <n v="836.428"/>
        <n v="578.71799999999996"/>
        <n v="820.57399999999996"/>
        <n v="576.92399999999998"/>
        <n v="621.73800000000006"/>
        <n v="788.85199999999998"/>
        <n v="942.21"/>
        <n v="554.21400000000006"/>
        <n v="732.30600000000004"/>
        <n v="692.08799999999997"/>
        <n v="919.32600000000002"/>
        <n v="898.72199999999998"/>
        <n v="624.41200000000003"/>
        <n v="746.54200000000003"/>
        <n v="549.4"/>
        <n v="903.98400000000004"/>
        <n v="807.65599999999995"/>
        <n v="618.548"/>
        <n v="522.38"/>
        <n v="596.30999999999995"/>
        <n v="730.49400000000003"/>
        <n v="603.93200000000002"/>
        <n v="561.37800000000004"/>
        <n v="711.11"/>
        <n v="835.89800000000002"/>
        <n v="852.11199999999997"/>
        <n v="796.86800000000005"/>
        <n v="673.28800000000001"/>
        <n v="818.19799999999998"/>
        <n v="488.78"/>
        <n v="739.85799999999995"/>
        <n v="834.79"/>
        <n v="569.10599999999999"/>
        <n v="723.66200000000003"/>
        <n v="679.04600000000005"/>
        <n v="536.49400000000003"/>
        <n v="994.62199999999996"/>
        <n v="514.31600000000003"/>
        <n v="680.154"/>
        <n v="483.22399999999999"/>
        <n v="867.38800000000003"/>
        <n v="530.01599999999996"/>
        <n v="796.18"/>
        <n v="631.76"/>
        <n v="933.03599999999994"/>
        <n v="792.88199999999995"/>
        <n v="832.81799999999998"/>
        <n v="469.82600000000002"/>
        <n v="775.35599999999999"/>
        <n v="737.04399999999998"/>
        <n v="465.16"/>
        <n v="763.12199999999996"/>
        <n v="873.44200000000001"/>
        <n v="669.41800000000001"/>
        <n v="710.26"/>
        <n v="945.00599999999997"/>
        <n v="627.24599999999998"/>
        <n v="444.96600000000001"/>
        <n v="644.16600000000005"/>
        <n v="636.07000000000005"/>
        <n v="624.58399999999995"/>
        <n v="987.16200000000003"/>
        <n v="670.14"/>
        <n v="566.59199999999998"/>
        <n v="590.37599999999998"/>
        <n v="777.928"/>
        <n v="463.23399999999998"/>
        <n v="772.96"/>
        <n v="850.90800000000002"/>
        <n v="460.63600000000002"/>
        <n v="700.91600000000005"/>
        <n v="971.99400000000003"/>
        <n v="478.46199999999999"/>
        <n v="798.68200000000002"/>
        <n v="638.55799999999999"/>
        <n v="793.49800000000005"/>
        <n v="585.26599999999996"/>
        <n v="628.50400000000002"/>
        <n v="649.05200000000002"/>
        <n v="421.60599999999999"/>
        <n v="893.01199999999994"/>
        <n v="919.51199999999994"/>
        <n v="527.76400000000001"/>
        <n v="737.87199999999996"/>
        <n v="692.50800000000004"/>
        <n v="431.61399999999998"/>
        <n v="719.31399999999996"/>
        <n v="412.846"/>
        <n v="732.73599999999999"/>
        <n v="424.77"/>
        <n v="694.42"/>
        <n v="431.99799999999999"/>
        <n v="382.01799999999997"/>
        <n v="424.86599999999999"/>
        <n v="623.30200000000002"/>
        <n v="355.89800000000002"/>
        <n v="566.79200000000003"/>
        <n v="516.40599999999995"/>
        <n v="561.77"/>
        <n v="475.42200000000003"/>
        <n v="616.82000000000005"/>
        <n v="829.41800000000001"/>
        <n v="699.00199999999995"/>
        <n v="394.572"/>
        <n v="427.91399999999999"/>
        <n v="766.89599999999996"/>
        <n v="593.18600000000004"/>
        <n v="513.01199999999994"/>
        <n v="596.62"/>
        <n v="420.96"/>
        <n v="579.19799999999998"/>
        <n v="359.62799999999999"/>
        <n v="696.05600000000004"/>
        <n v="627.75"/>
        <n v="571.70399999999995"/>
        <n v="566.07799999999997"/>
        <n v="560.01599999999996"/>
        <n v="352.43"/>
        <n v="765.69600000000003"/>
        <n v="366.9"/>
        <n v="352.48200000000003"/>
        <n v="540.14800000000002"/>
        <n v="529.91"/>
        <n v="388.18799999999999"/>
        <n v="315.93200000000002"/>
        <n v="408.96"/>
        <n v="472.92399999999998"/>
        <n v="702.01199999999994"/>
        <n v="551.84799999999996"/>
        <n v="640.54999999999995"/>
        <n v="635.28399999999999"/>
        <n v="370.35199999999998"/>
        <n v="430.10599999999999"/>
        <n v="382.95800000000003"/>
        <n v="361.56200000000001"/>
        <n v="321.25400000000002"/>
        <n v="422.35199999999998"/>
        <n v="505.02199999999999"/>
        <n v="435.928"/>
        <n v="509.78399999999999"/>
        <n v="380.94400000000002"/>
        <n v="493.22"/>
        <n v="377.76400000000001"/>
        <n v="487.82799999999997"/>
        <n v="445.44600000000003"/>
        <n v="580.60400000000004"/>
        <n v="305.63200000000001"/>
        <n v="589.27200000000005"/>
        <n v="553.02800000000002"/>
        <n v="448.41399999999999"/>
        <n v="518.71799999999996"/>
        <n v="388.38799999999998"/>
        <n v="519.75800000000004"/>
        <n v="568.68200000000002"/>
        <n v="362.25200000000001"/>
        <n v="328.17200000000003"/>
        <n v="329.15"/>
        <n v="366.50799999999998"/>
        <n v="267.12799999999999"/>
        <n v="296.19400000000002"/>
        <n v="510.74599999999998"/>
        <n v="533.80200000000002"/>
        <n v="400.20800000000003"/>
        <n v="256.53800000000001"/>
        <n v="453.82"/>
        <n v="259.42399999999998"/>
        <n v="419.01799999999997"/>
        <n v="244.51"/>
        <n v="345.38600000000002"/>
        <n v="344.15600000000001"/>
        <n v="234.506"/>
        <n v="227.69399999999999"/>
        <n v="279.99400000000003"/>
        <n v="191.072"/>
        <n v="302.392"/>
        <n v="379.274"/>
        <n v="401.59800000000001"/>
        <n v="184.79599999999999"/>
        <n v="221.25"/>
        <n v="175.38399999999999"/>
        <n v="191.74799999999999"/>
        <n v="226.548"/>
        <n v="383.91"/>
        <n v="372.72199999999998"/>
        <n v="314.334"/>
        <n v="279.01"/>
        <n v="223.77799999999999"/>
        <n v="275.01400000000001"/>
        <n v="255.65"/>
        <n v="172.06800000000001"/>
        <n v="155.268"/>
        <n v="154.524"/>
        <n v="226.61600000000001"/>
        <n v="201.10599999999999"/>
        <n v="237.404"/>
        <n v="228.214"/>
        <n v="168.65199999999999"/>
        <n v="191.01"/>
        <n v="216.89599999999999"/>
        <n v="315.07"/>
        <n v="246.1"/>
        <n v="251.87799999999999"/>
        <n v="193.22399999999999"/>
        <n v="261.81400000000002"/>
        <n v="135.81"/>
        <n v="128.65"/>
        <n v="175.87200000000001"/>
        <n v="127.066"/>
        <n v="151.52799999999999"/>
        <n v="199.13399999999999"/>
        <n v="192.80600000000001"/>
        <n v="191.536"/>
        <n v="124.494"/>
        <n v="137.072"/>
        <n v="79.292000000000002"/>
        <n v="173.25"/>
        <n v="84.254000000000005"/>
        <n v="102.31"/>
        <n v="148"/>
        <n v="135.21799999999999"/>
        <n v="127.58"/>
        <n v="135.65199999999999"/>
        <n v="137.88200000000001"/>
        <n v="114.88"/>
        <n v="85.2"/>
        <n v="102.592"/>
        <n v="115.69199999999999"/>
        <n v="59.41"/>
        <n v="49.533999999999999"/>
        <n v="50.241999999999997"/>
        <n v="52.31"/>
        <n v="68.63"/>
        <n v="47.926000000000002"/>
        <n v="44.04"/>
        <n v="69.658000000000001"/>
        <n v="65"/>
        <n v="85.22"/>
        <n v="36.845999999999997"/>
        <n v="66.042000000000002"/>
        <n v="69.87"/>
        <n v="35.738"/>
        <n v="44.816000000000003"/>
        <n v="34.902000000000001"/>
        <n v="37.222000000000001"/>
        <m/>
      </sharedItems>
    </cacheField>
    <cacheField name="Custo_Unitario" numFmtId="0">
      <sharedItems containsString="0" containsBlank="1" containsNumber="1" minValue="20.806000000000001" maxValue="780.33799999999997"/>
    </cacheField>
    <cacheField name="Lucro" numFmtId="0">
      <sharedItems containsString="0" containsBlank="1" containsNumber="1" minValue="9.484" maxValue="3965.04"/>
    </cacheField>
    <cacheField name="Receita" numFmtId="0">
      <sharedItems containsString="0" containsBlank="1" containsNumber="1" minValue="37.222000000000001" maxValue="9946.2199999999993" count="301">
        <n v="7890.4960000000001"/>
        <n v="1941.5640000000001"/>
        <n v="2981.424"/>
        <n v="943.01199999999994"/>
        <n v="4468.41"/>
        <n v="886.46799999999996"/>
        <n v="3934.5839999999998"/>
        <n v="1748.2560000000001"/>
        <n v="2898.12"/>
        <n v="8293.3379999999997"/>
        <n v="7261.4560000000001"/>
        <n v="7575.0079999999998"/>
        <n v="5884.1040000000003"/>
        <n v="8441.5319999999992"/>
        <n v="3477.1120000000001"/>
        <n v="7436.25"/>
        <n v="9436.68"/>
        <n v="7732.42"/>
        <n v="5517.8760000000002"/>
        <n v="6148.3040000000001"/>
        <n v="6058.9120000000003"/>
        <n v="6322.48"/>
        <n v="7551"/>
        <n v="8522.5499999999993"/>
        <n v="6874.28"/>
        <n v="5154.4780000000001"/>
        <n v="3786.096"/>
        <n v="706.54"/>
        <n v="4458.58"/>
        <n v="1396.896"/>
        <n v="6566.2020000000002"/>
        <n v="7696.8180000000002"/>
        <n v="3671.02"/>
        <n v="6342.2"/>
        <n v="3394.36"/>
        <n v="4221.41"/>
        <n v="1984.3979999999999"/>
        <n v="1644.0119999999999"/>
        <n v="7472.3220000000001"/>
        <n v="4470.3119999999999"/>
        <n v="1427.588"/>
        <n v="4616.652"/>
        <n v="978.14800000000002"/>
        <n v="3937.864"/>
        <n v="3507.12"/>
        <n v="888.572"/>
        <n v="5719.02"/>
        <n v="7767.42"/>
        <n v="3467.5039999999999"/>
        <n v="6920.62"/>
        <n v="4808.67"/>
        <n v="603.404"/>
        <n v="2922.81"/>
        <n v="8248.94"/>
        <n v="1775.136"/>
        <n v="5785.308"/>
        <n v="1672.856"/>
        <n v="2893.59"/>
        <n v="3282.2959999999998"/>
        <n v="5769.24"/>
        <n v="5595.6419999999998"/>
        <n v="7099.6679999999997"/>
        <n v="9422.1"/>
        <n v="554.21400000000006"/>
        <n v="2196.9180000000001"/>
        <n v="4152.5280000000002"/>
        <n v="4596.63"/>
        <n v="898.72199999999998"/>
        <n v="1248.8240000000001"/>
        <n v="2239.6260000000002"/>
        <n v="4395.2"/>
        <n v="7231.8720000000003"/>
        <n v="3230.6239999999998"/>
        <n v="5566.9319999999998"/>
        <n v="5223.8"/>
        <n v="4174.17"/>
        <n v="7304.94"/>
        <n v="4831.4560000000001"/>
        <n v="1684.134"/>
        <n v="4977.7700000000004"/>
        <n v="5015.3879999999999"/>
        <n v="4260.5600000000004"/>
        <n v="4781.2079999999996"/>
        <n v="4713.0159999999996"/>
        <n v="8181.98"/>
        <n v="3421.46"/>
        <n v="1479.7159999999999"/>
        <n v="6678.32"/>
        <n v="4552.848"/>
        <n v="4341.9719999999998"/>
        <n v="1358.0920000000001"/>
        <n v="4291.9520000000002"/>
        <n v="9946.2199999999993"/>
        <n v="4114.5280000000002"/>
        <n v="2040.462"/>
        <n v="4349.0159999999996"/>
        <n v="7806.4920000000002"/>
        <n v="4770.1440000000002"/>
        <n v="2388.54"/>
        <n v="3158.8"/>
        <n v="3732.1439999999998"/>
        <n v="6343.0559999999996"/>
        <n v="832.81799999999998"/>
        <n v="2349.13"/>
        <n v="2326.0680000000002"/>
        <n v="1474.088"/>
        <n v="465.16"/>
        <n v="4578.732"/>
        <n v="3493.768"/>
        <n v="5355.3440000000001"/>
        <n v="2841.04"/>
        <n v="2835.018"/>
        <n v="6272.46"/>
        <n v="3114.7620000000002"/>
        <n v="6441.66"/>
        <n v="4452.49"/>
        <n v="6245.84"/>
        <n v="1974.3240000000001"/>
        <n v="670.14"/>
        <n v="5099.3280000000004"/>
        <n v="2951.88"/>
        <n v="7779.28"/>
        <n v="4169.1059999999998"/>
        <n v="3091.84"/>
        <n v="7658.1719999999996"/>
        <n v="4145.7240000000002"/>
        <n v="4205.4960000000001"/>
        <n v="6803.9579999999996"/>
        <n v="2870.7719999999999"/>
        <n v="5590.7740000000003"/>
        <n v="5108.4639999999999"/>
        <n v="793.49800000000005"/>
        <n v="4096.8620000000001"/>
        <n v="3142.52"/>
        <n v="3894.3119999999999"/>
        <n v="843.21199999999999"/>
        <n v="7144.0959999999995"/>
        <n v="2758.5360000000001"/>
        <n v="4749.8760000000002"/>
        <n v="5902.9759999999997"/>
        <n v="1385.0160000000001"/>
        <n v="1294.8420000000001"/>
        <n v="4315.884"/>
        <n v="3715.614"/>
        <n v="732.73599999999999"/>
        <n v="1274.31"/>
        <n v="2777.68"/>
        <n v="3023.9859999999999"/>
        <n v="3056.1439999999998"/>
        <n v="849.73199999999997"/>
        <n v="623.30200000000002"/>
        <n v="2135.3879999999999"/>
        <n v="3400.752"/>
        <n v="5164.0600000000004"/>
        <n v="5055.93"/>
        <n v="950.84400000000005"/>
        <n v="6168.2"/>
        <n v="2488.2539999999999"/>
        <n v="4893.0140000000001"/>
        <n v="789.14400000000001"/>
        <n v="1711.6559999999999"/>
        <n v="6902.0640000000003"/>
        <n v="1779.558"/>
        <n v="3078.0720000000001"/>
        <n v="2983.1"/>
        <n v="420.96"/>
        <n v="5791.98"/>
        <n v="719.25599999999997"/>
        <n v="2784.2240000000002"/>
        <n v="5649.75"/>
        <n v="571.70399999999995"/>
        <n v="5094.7020000000002"/>
        <n v="4480.1279999999997"/>
        <n v="704.86"/>
        <n v="4594.1760000000004"/>
        <n v="733.8"/>
        <n v="2467.3739999999998"/>
        <n v="3781.0360000000001"/>
        <n v="5299.1"/>
        <n v="1164.5640000000001"/>
        <n v="2843.3879999999999"/>
        <n v="2453.7600000000002"/>
        <n v="2364.62"/>
        <n v="4212.0720000000001"/>
        <n v="1103.6959999999999"/>
        <n v="2562.1999999999998"/>
        <n v="4446.9880000000003"/>
        <n v="3703.52"/>
        <n v="3010.7420000000002"/>
        <n v="1531.8320000000001"/>
        <n v="1084.6859999999999"/>
        <n v="3212.54"/>
        <n v="844.70399999999995"/>
        <n v="2020.088"/>
        <n v="871.85599999999999"/>
        <n v="5097.84"/>
        <n v="2285.6640000000002"/>
        <n v="1972.88"/>
        <n v="1888.82"/>
        <n v="4390.4520000000002"/>
        <n v="4454.46"/>
        <n v="4064.2280000000001"/>
        <n v="2139.424"/>
        <n v="5892.72"/>
        <n v="4977.2520000000004"/>
        <n v="2690.4839999999999"/>
        <n v="4149.7439999999997"/>
        <n v="1941.94"/>
        <n v="5197.58"/>
        <n v="5118.1379999999999"/>
        <n v="3622.52"/>
        <n v="1640.86"/>
        <n v="2962.35"/>
        <n v="2932.0639999999999"/>
        <n v="1068.5119999999999"/>
        <n v="2369.5520000000001"/>
        <n v="2042.9839999999999"/>
        <n v="5338.02"/>
        <n v="1600.8320000000001"/>
        <n v="256.53800000000001"/>
        <n v="3176.74"/>
        <n v="778.27200000000005"/>
        <n v="1257.0540000000001"/>
        <n v="244.51"/>
        <n v="1036.1579999999999"/>
        <n v="3441.56"/>
        <n v="2110.5540000000001"/>
        <n v="1821.5519999999999"/>
        <n v="2239.9520000000002"/>
        <n v="955.36"/>
        <n v="2116.7440000000001"/>
        <n v="2654.9180000000001"/>
        <n v="3614.3820000000001"/>
        <n v="923.98"/>
        <n v="1991.25"/>
        <n v="526.15200000000004"/>
        <n v="958.74"/>
        <n v="453.096"/>
        <n v="767.82"/>
        <n v="1490.8879999999999"/>
        <n v="1886.0039999999999"/>
        <n v="2790.1"/>
        <n v="447.55599999999998"/>
        <n v="1100.056"/>
        <n v="2045.2"/>
        <n v="1376.5440000000001"/>
        <n v="776.34"/>
        <n v="463.572"/>
        <n v="2266.16"/>
        <n v="804.42399999999998"/>
        <n v="1661.828"/>
        <n v="1825.712"/>
        <n v="505.95600000000002"/>
        <n v="1719.09"/>
        <n v="2168.96"/>
        <n v="2835.63"/>
        <n v="738.3"/>
        <n v="755.63400000000001"/>
        <n v="966.12"/>
        <n v="2618.14"/>
        <n v="950.67"/>
        <n v="643.25"/>
        <n v="175.87200000000001"/>
        <n v="381.19799999999998"/>
        <n v="1212.2239999999999"/>
        <n v="199.13399999999999"/>
        <n v="192.80600000000001"/>
        <n v="766.14400000000001"/>
        <n v="871.45799999999997"/>
        <n v="1370.72"/>
        <n v="317.16800000000001"/>
        <n v="1732.5"/>
        <n v="84.254000000000005"/>
        <n v="306.93"/>
        <n v="444"/>
        <n v="135.21799999999999"/>
        <n v="637.9"/>
        <n v="1356.52"/>
        <n v="1103.056"/>
        <n v="804.16"/>
        <n v="255.6"/>
        <n v="615.55200000000002"/>
        <n v="1041.2280000000001"/>
        <n v="178.23"/>
        <n v="445.80599999999998"/>
        <n v="50.241999999999997"/>
        <n v="52.31"/>
        <n v="686.3"/>
        <n v="191.70400000000001"/>
        <n v="132.12"/>
        <n v="626.92200000000003"/>
        <n v="390"/>
        <n v="852.2"/>
        <n v="368.46"/>
        <n v="462.29399999999998"/>
        <n v="279.48"/>
        <n v="214.428"/>
        <n v="224.08"/>
        <n v="209.41200000000001"/>
        <n v="37.222000000000001"/>
        <m/>
      </sharedItems>
    </cacheField>
    <cacheField name="Trimestres" numFmtId="0" databaseField="0">
      <fieldGroup base="1">
        <rangePr groupBy="quarters" startDate="2024-12-04T00:00:00" endDate="2025-12-03T00:00:00"/>
        <groupItems count="6">
          <s v="&lt;04/12/2024"/>
          <s v="Trim1"/>
          <s v="Trim2"/>
          <s v="Trim3"/>
          <s v="Trim4"/>
          <s v="&gt;03/12/2025"/>
        </groupItems>
      </fieldGroup>
    </cacheField>
    <cacheField name="Anos" numFmtId="0" databaseField="0">
      <fieldGroup base="1">
        <rangePr groupBy="years" startDate="2024-12-04T00:00:00" endDate="2025-12-03T00:00:00"/>
        <groupItems count="4">
          <s v="&lt;04/12/2024"/>
          <s v="2024"/>
          <s v="2025"/>
          <s v="&gt;03/12/2025"/>
        </groupItems>
      </fieldGroup>
    </cacheField>
  </cacheFields>
  <extLst>
    <ext xmlns:x14="http://schemas.microsoft.com/office/spreadsheetml/2009/9/main" uri="{725AE2AE-9491-48be-B2B4-4EB974FC3084}">
      <x14:pivotCacheDefinition pivotCacheId="174992170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Bianchi" refreshedDate="46002.944241319441" createdVersion="7" refreshedVersion="7" minRefreshableVersion="3" recordCount="300" xr:uid="{74916EB1-4A68-4A02-BCD1-B3D1A807527E}">
  <cacheSource type="worksheet">
    <worksheetSource name="Planilha1"/>
  </cacheSource>
  <cacheFields count="11">
    <cacheField name="ID_Venda" numFmtId="0">
      <sharedItems containsSemiMixedTypes="0" containsString="0" containsNumber="1" containsInteger="1" minValue="1" maxValue="300"/>
    </cacheField>
    <cacheField name="Data" numFmtId="14">
      <sharedItems containsSemiMixedTypes="0" containsNonDate="0" containsDate="1" containsString="0" minDate="2024-12-04T00:00:00" maxDate="2025-12-03T00:00:00"/>
    </cacheField>
    <cacheField name="Produto" numFmtId="49">
      <sharedItems/>
    </cacheField>
    <cacheField name="Categoria" numFmtId="49">
      <sharedItems count="5">
        <s v="Informática"/>
        <s v="Eletrônicos"/>
        <s v="Redes"/>
        <s v="Periféricos"/>
        <s v="Componentes"/>
      </sharedItems>
    </cacheField>
    <cacheField name="Região" numFmtId="49">
      <sharedItems/>
    </cacheField>
    <cacheField name="Vendedor" numFmtId="49">
      <sharedItems/>
    </cacheField>
    <cacheField name="Quantidade" numFmtId="0">
      <sharedItems containsSemiMixedTypes="0" containsString="0" containsNumber="1" containsInteger="1" minValue="1" maxValue="10"/>
    </cacheField>
    <cacheField name="Preco_Unitario" numFmtId="0">
      <sharedItems containsSemiMixedTypes="0" containsString="0" containsNumber="1" minValue="34.902000000000001" maxValue="994.62199999999996"/>
    </cacheField>
    <cacheField name="Custo_Unitario" numFmtId="0">
      <sharedItems containsSemiMixedTypes="0" containsString="0" containsNumber="1" minValue="20.806000000000001" maxValue="780.33799999999997"/>
    </cacheField>
    <cacheField name="Lucro" numFmtId="0">
      <sharedItems containsSemiMixedTypes="0" containsString="0" containsNumber="1" minValue="9.484" maxValue="3965.04"/>
    </cacheField>
    <cacheField name="Receita" numFmtId="0">
      <sharedItems containsSemiMixedTypes="0" containsString="0" containsNumber="1" minValue="37.222000000000001" maxValue="9946.21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90"/>
    <x v="0"/>
    <x v="0"/>
    <x v="0"/>
    <x v="0"/>
    <x v="0"/>
    <n v="8"/>
    <x v="0"/>
    <n v="506.10399999999998"/>
    <n v="3841.6640000000002"/>
    <x v="0"/>
  </r>
  <r>
    <n v="144"/>
    <x v="1"/>
    <x v="1"/>
    <x v="1"/>
    <x v="1"/>
    <x v="1"/>
    <n v="2"/>
    <x v="1"/>
    <n v="491.21199999999999"/>
    <n v="959.14"/>
    <x v="1"/>
  </r>
  <r>
    <n v="29"/>
    <x v="2"/>
    <x v="2"/>
    <x v="2"/>
    <x v="2"/>
    <x v="2"/>
    <n v="3"/>
    <x v="2"/>
    <n v="534.51"/>
    <n v="1377.894"/>
    <x v="2"/>
  </r>
  <r>
    <n v="81"/>
    <x v="3"/>
    <x v="3"/>
    <x v="0"/>
    <x v="3"/>
    <x v="3"/>
    <n v="1"/>
    <x v="3"/>
    <n v="488.048"/>
    <n v="454.964"/>
    <x v="3"/>
  </r>
  <r>
    <n v="225"/>
    <x v="4"/>
    <x v="4"/>
    <x v="3"/>
    <x v="2"/>
    <x v="2"/>
    <n v="5"/>
    <x v="4"/>
    <n v="448.75400000000002"/>
    <n v="2224.64"/>
    <x v="4"/>
  </r>
  <r>
    <n v="274"/>
    <x v="5"/>
    <x v="5"/>
    <x v="4"/>
    <x v="0"/>
    <x v="4"/>
    <n v="1"/>
    <x v="5"/>
    <n v="445.56200000000001"/>
    <n v="440.90600000000001"/>
    <x v="5"/>
  </r>
  <r>
    <n v="138"/>
    <x v="6"/>
    <x v="4"/>
    <x v="4"/>
    <x v="0"/>
    <x v="2"/>
    <n v="4"/>
    <x v="6"/>
    <n v="545.77800000000002"/>
    <n v="1751.472"/>
    <x v="6"/>
  </r>
  <r>
    <n v="1"/>
    <x v="7"/>
    <x v="6"/>
    <x v="1"/>
    <x v="3"/>
    <x v="5"/>
    <n v="2"/>
    <x v="7"/>
    <n v="438.49"/>
    <n v="871.27599999999995"/>
    <x v="7"/>
  </r>
  <r>
    <n v="95"/>
    <x v="8"/>
    <x v="3"/>
    <x v="0"/>
    <x v="0"/>
    <x v="6"/>
    <n v="3"/>
    <x v="8"/>
    <n v="535.50199999999995"/>
    <n v="1291.614"/>
    <x v="8"/>
  </r>
  <r>
    <n v="36"/>
    <x v="9"/>
    <x v="7"/>
    <x v="2"/>
    <x v="3"/>
    <x v="1"/>
    <n v="9"/>
    <x v="9"/>
    <n v="491.08800000000002"/>
    <n v="3873.5459999999998"/>
    <x v="9"/>
  </r>
  <r>
    <n v="83"/>
    <x v="10"/>
    <x v="8"/>
    <x v="4"/>
    <x v="4"/>
    <x v="0"/>
    <n v="8"/>
    <x v="10"/>
    <n v="483.76400000000001"/>
    <n v="3391.3440000000001"/>
    <x v="10"/>
  </r>
  <r>
    <n v="38"/>
    <x v="11"/>
    <x v="0"/>
    <x v="3"/>
    <x v="4"/>
    <x v="1"/>
    <n v="8"/>
    <x v="11"/>
    <n v="527.404"/>
    <n v="3355.7759999999998"/>
    <x v="11"/>
  </r>
  <r>
    <n v="125"/>
    <x v="12"/>
    <x v="8"/>
    <x v="2"/>
    <x v="3"/>
    <x v="0"/>
    <n v="6"/>
    <x v="12"/>
    <n v="570.96199999999999"/>
    <n v="2458.3319999999999"/>
    <x v="12"/>
  </r>
  <r>
    <n v="293"/>
    <x v="13"/>
    <x v="3"/>
    <x v="0"/>
    <x v="0"/>
    <x v="4"/>
    <n v="9"/>
    <x v="13"/>
    <n v="529.596"/>
    <n v="3675.1680000000001"/>
    <x v="13"/>
  </r>
  <r>
    <n v="31"/>
    <x v="14"/>
    <x v="0"/>
    <x v="0"/>
    <x v="3"/>
    <x v="3"/>
    <n v="4"/>
    <x v="14"/>
    <n v="463.26600000000002"/>
    <n v="1624.048"/>
    <x v="14"/>
  </r>
  <r>
    <n v="248"/>
    <x v="15"/>
    <x v="3"/>
    <x v="1"/>
    <x v="3"/>
    <x v="7"/>
    <n v="9"/>
    <x v="15"/>
    <n v="421.29599999999999"/>
    <n v="3644.5859999999998"/>
    <x v="15"/>
  </r>
  <r>
    <n v="112"/>
    <x v="16"/>
    <x v="1"/>
    <x v="1"/>
    <x v="3"/>
    <x v="1"/>
    <n v="10"/>
    <x v="16"/>
    <n v="547.16399999999999"/>
    <n v="3965.04"/>
    <x v="16"/>
  </r>
  <r>
    <n v="257"/>
    <x v="17"/>
    <x v="7"/>
    <x v="4"/>
    <x v="4"/>
    <x v="6"/>
    <n v="10"/>
    <x v="17"/>
    <n v="387.858"/>
    <n v="3853.84"/>
    <x v="17"/>
  </r>
  <r>
    <n v="187"/>
    <x v="18"/>
    <x v="0"/>
    <x v="1"/>
    <x v="4"/>
    <x v="8"/>
    <n v="6"/>
    <x v="18"/>
    <n v="539.37"/>
    <n v="2281.6559999999999"/>
    <x v="18"/>
  </r>
  <r>
    <n v="217"/>
    <x v="19"/>
    <x v="9"/>
    <x v="2"/>
    <x v="0"/>
    <x v="8"/>
    <n v="8"/>
    <x v="19"/>
    <n v="398.964"/>
    <n v="2956.5920000000001"/>
    <x v="19"/>
  </r>
  <r>
    <n v="124"/>
    <x v="20"/>
    <x v="8"/>
    <x v="2"/>
    <x v="1"/>
    <x v="7"/>
    <n v="8"/>
    <x v="20"/>
    <n v="388.93400000000003"/>
    <n v="2947.44"/>
    <x v="20"/>
  </r>
  <r>
    <n v="53"/>
    <x v="21"/>
    <x v="7"/>
    <x v="1"/>
    <x v="4"/>
    <x v="8"/>
    <n v="8"/>
    <x v="21"/>
    <n v="422.38200000000001"/>
    <n v="2943.424"/>
    <x v="21"/>
  </r>
  <r>
    <n v="286"/>
    <x v="22"/>
    <x v="5"/>
    <x v="0"/>
    <x v="0"/>
    <x v="5"/>
    <n v="10"/>
    <x v="22"/>
    <n v="389.928"/>
    <n v="3651.72"/>
    <x v="22"/>
  </r>
  <r>
    <n v="56"/>
    <x v="23"/>
    <x v="6"/>
    <x v="2"/>
    <x v="3"/>
    <x v="5"/>
    <n v="9"/>
    <x v="23"/>
    <n v="583.36"/>
    <n v="3272.31"/>
    <x v="23"/>
  </r>
  <r>
    <n v="212"/>
    <x v="24"/>
    <x v="8"/>
    <x v="0"/>
    <x v="0"/>
    <x v="7"/>
    <n v="7"/>
    <x v="24"/>
    <n v="624.39400000000001"/>
    <n v="2503.5219999999999"/>
    <x v="24"/>
  </r>
  <r>
    <n v="84"/>
    <x v="25"/>
    <x v="1"/>
    <x v="3"/>
    <x v="3"/>
    <x v="0"/>
    <n v="7"/>
    <x v="25"/>
    <n v="386.34399999999999"/>
    <n v="2450.0700000000002"/>
    <x v="25"/>
  </r>
  <r>
    <n v="162"/>
    <x v="26"/>
    <x v="9"/>
    <x v="0"/>
    <x v="3"/>
    <x v="7"/>
    <n v="4"/>
    <x v="26"/>
    <n v="608.73199999999997"/>
    <n v="1351.1679999999999"/>
    <x v="26"/>
  </r>
  <r>
    <n v="126"/>
    <x v="27"/>
    <x v="10"/>
    <x v="4"/>
    <x v="2"/>
    <x v="8"/>
    <n v="1"/>
    <x v="27"/>
    <n v="380.25400000000002"/>
    <n v="326.286"/>
    <x v="27"/>
  </r>
  <r>
    <n v="60"/>
    <x v="28"/>
    <x v="11"/>
    <x v="1"/>
    <x v="3"/>
    <x v="8"/>
    <n v="5"/>
    <x v="28"/>
    <n v="567.18200000000002"/>
    <n v="1622.67"/>
    <x v="28"/>
  </r>
  <r>
    <n v="273"/>
    <x v="29"/>
    <x v="12"/>
    <x v="0"/>
    <x v="1"/>
    <x v="3"/>
    <n v="2"/>
    <x v="29"/>
    <n v="375.69600000000003"/>
    <n v="645.50400000000002"/>
    <x v="29"/>
  </r>
  <r>
    <n v="128"/>
    <x v="30"/>
    <x v="1"/>
    <x v="4"/>
    <x v="2"/>
    <x v="4"/>
    <n v="9"/>
    <x v="30"/>
    <n v="407.14600000000002"/>
    <n v="2901.8879999999999"/>
    <x v="30"/>
  </r>
  <r>
    <n v="98"/>
    <x v="31"/>
    <x v="5"/>
    <x v="2"/>
    <x v="0"/>
    <x v="5"/>
    <n v="9"/>
    <x v="31"/>
    <n v="536.26199999999994"/>
    <n v="2870.46"/>
    <x v="31"/>
  </r>
  <r>
    <n v="49"/>
    <x v="32"/>
    <x v="8"/>
    <x v="0"/>
    <x v="4"/>
    <x v="3"/>
    <n v="5"/>
    <x v="32"/>
    <n v="415.524"/>
    <n v="1593.4"/>
    <x v="32"/>
  </r>
  <r>
    <n v="166"/>
    <x v="33"/>
    <x v="9"/>
    <x v="1"/>
    <x v="2"/>
    <x v="4"/>
    <n v="10"/>
    <x v="33"/>
    <n v="317.85000000000002"/>
    <n v="3163.7"/>
    <x v="33"/>
  </r>
  <r>
    <n v="52"/>
    <x v="34"/>
    <x v="0"/>
    <x v="4"/>
    <x v="2"/>
    <x v="8"/>
    <n v="5"/>
    <x v="34"/>
    <n v="363.28800000000001"/>
    <n v="1577.92"/>
    <x v="34"/>
  </r>
  <r>
    <n v="227"/>
    <x v="35"/>
    <x v="7"/>
    <x v="2"/>
    <x v="2"/>
    <x v="0"/>
    <n v="5"/>
    <x v="35"/>
    <n v="529.35"/>
    <n v="1574.66"/>
    <x v="35"/>
  </r>
  <r>
    <n v="259"/>
    <x v="36"/>
    <x v="7"/>
    <x v="0"/>
    <x v="3"/>
    <x v="7"/>
    <n v="3"/>
    <x v="36"/>
    <n v="347.95800000000003"/>
    <n v="940.524"/>
    <x v="36"/>
  </r>
  <r>
    <n v="269"/>
    <x v="37"/>
    <x v="3"/>
    <x v="1"/>
    <x v="0"/>
    <x v="8"/>
    <n v="2"/>
    <x v="37"/>
    <n v="508.83600000000001"/>
    <n v="626.34"/>
    <x v="37"/>
  </r>
  <r>
    <n v="142"/>
    <x v="38"/>
    <x v="13"/>
    <x v="1"/>
    <x v="1"/>
    <x v="0"/>
    <n v="9"/>
    <x v="38"/>
    <n v="518.21"/>
    <n v="2808.4319999999998"/>
    <x v="38"/>
  </r>
  <r>
    <n v="63"/>
    <x v="39"/>
    <x v="1"/>
    <x v="4"/>
    <x v="4"/>
    <x v="7"/>
    <n v="7"/>
    <x v="39"/>
    <n v="327.21800000000002"/>
    <n v="2179.7860000000001"/>
    <x v="39"/>
  </r>
  <r>
    <n v="251"/>
    <x v="40"/>
    <x v="11"/>
    <x v="1"/>
    <x v="2"/>
    <x v="3"/>
    <n v="2"/>
    <x v="40"/>
    <n v="404.04"/>
    <n v="619.50800000000004"/>
    <x v="40"/>
  </r>
  <r>
    <n v="266"/>
    <x v="41"/>
    <x v="5"/>
    <x v="0"/>
    <x v="1"/>
    <x v="8"/>
    <n v="6"/>
    <x v="41"/>
    <n v="462.03800000000001"/>
    <n v="1844.424"/>
    <x v="41"/>
  </r>
  <r>
    <n v="94"/>
    <x v="34"/>
    <x v="6"/>
    <x v="3"/>
    <x v="2"/>
    <x v="1"/>
    <n v="1"/>
    <x v="42"/>
    <n v="671.21400000000006"/>
    <n v="306.93400000000003"/>
    <x v="42"/>
  </r>
  <r>
    <n v="68"/>
    <x v="42"/>
    <x v="3"/>
    <x v="0"/>
    <x v="0"/>
    <x v="5"/>
    <n v="4"/>
    <x v="43"/>
    <n v="679.20600000000002"/>
    <n v="1221.04"/>
    <x v="43"/>
  </r>
  <r>
    <n v="176"/>
    <x v="43"/>
    <x v="3"/>
    <x v="4"/>
    <x v="3"/>
    <x v="2"/>
    <n v="4"/>
    <x v="44"/>
    <n v="573.78599999999994"/>
    <n v="1211.9760000000001"/>
    <x v="44"/>
  </r>
  <r>
    <n v="59"/>
    <x v="44"/>
    <x v="9"/>
    <x v="1"/>
    <x v="4"/>
    <x v="9"/>
    <n v="1"/>
    <x v="45"/>
    <n v="585.82399999999996"/>
    <n v="302.74799999999999"/>
    <x v="45"/>
  </r>
  <r>
    <n v="265"/>
    <x v="45"/>
    <x v="0"/>
    <x v="0"/>
    <x v="0"/>
    <x v="7"/>
    <n v="6"/>
    <x v="46"/>
    <n v="650.51400000000001"/>
    <n v="1815.9359999999999"/>
    <x v="46"/>
  </r>
  <r>
    <n v="197"/>
    <x v="9"/>
    <x v="3"/>
    <x v="2"/>
    <x v="1"/>
    <x v="3"/>
    <n v="10"/>
    <x v="47"/>
    <n v="479.01"/>
    <n v="2977.32"/>
    <x v="47"/>
  </r>
  <r>
    <n v="280"/>
    <x v="46"/>
    <x v="4"/>
    <x v="2"/>
    <x v="2"/>
    <x v="1"/>
    <n v="4"/>
    <x v="48"/>
    <n v="569.55600000000004"/>
    <n v="1189.28"/>
    <x v="48"/>
  </r>
  <r>
    <n v="133"/>
    <x v="47"/>
    <x v="5"/>
    <x v="0"/>
    <x v="4"/>
    <x v="0"/>
    <n v="10"/>
    <x v="49"/>
    <n v="396.1"/>
    <n v="2959.62"/>
    <x v="49"/>
  </r>
  <r>
    <n v="239"/>
    <x v="48"/>
    <x v="8"/>
    <x v="2"/>
    <x v="1"/>
    <x v="2"/>
    <n v="5"/>
    <x v="50"/>
    <n v="666.18600000000004"/>
    <n v="1477.74"/>
    <x v="50"/>
  </r>
  <r>
    <n v="275"/>
    <x v="49"/>
    <x v="8"/>
    <x v="2"/>
    <x v="0"/>
    <x v="3"/>
    <n v="1"/>
    <x v="51"/>
    <n v="311.34199999999998"/>
    <n v="292.06200000000001"/>
    <x v="51"/>
  </r>
  <r>
    <n v="13"/>
    <x v="50"/>
    <x v="12"/>
    <x v="0"/>
    <x v="2"/>
    <x v="3"/>
    <n v="5"/>
    <x v="52"/>
    <n v="292.99599999999998"/>
    <n v="1457.83"/>
    <x v="52"/>
  </r>
  <r>
    <n v="292"/>
    <x v="51"/>
    <x v="2"/>
    <x v="0"/>
    <x v="1"/>
    <x v="1"/>
    <n v="10"/>
    <x v="53"/>
    <n v="534.72400000000005"/>
    <n v="2901.7"/>
    <x v="53"/>
  </r>
  <r>
    <n v="199"/>
    <x v="52"/>
    <x v="3"/>
    <x v="4"/>
    <x v="0"/>
    <x v="7"/>
    <n v="3"/>
    <x v="54"/>
    <n v="305.27600000000001"/>
    <n v="859.30799999999999"/>
    <x v="54"/>
  </r>
  <r>
    <n v="183"/>
    <x v="53"/>
    <x v="0"/>
    <x v="3"/>
    <x v="0"/>
    <x v="8"/>
    <n v="6"/>
    <x v="55"/>
    <n v="679.01599999999996"/>
    <n v="1711.212"/>
    <x v="55"/>
  </r>
  <r>
    <n v="201"/>
    <x v="54"/>
    <x v="6"/>
    <x v="1"/>
    <x v="2"/>
    <x v="3"/>
    <n v="2"/>
    <x v="56"/>
    <n v="552.00400000000002"/>
    <n v="568.84799999999996"/>
    <x v="56"/>
  </r>
  <r>
    <n v="215"/>
    <x v="39"/>
    <x v="1"/>
    <x v="4"/>
    <x v="1"/>
    <x v="8"/>
    <n v="5"/>
    <x v="57"/>
    <n v="296.56400000000002"/>
    <n v="1410.77"/>
    <x v="57"/>
  </r>
  <r>
    <n v="260"/>
    <x v="55"/>
    <x v="5"/>
    <x v="4"/>
    <x v="3"/>
    <x v="2"/>
    <n v="4"/>
    <x v="58"/>
    <n v="538.80600000000004"/>
    <n v="1127.0719999999999"/>
    <x v="58"/>
  </r>
  <r>
    <n v="195"/>
    <x v="56"/>
    <x v="8"/>
    <x v="1"/>
    <x v="0"/>
    <x v="9"/>
    <n v="10"/>
    <x v="59"/>
    <n v="297.64999999999998"/>
    <n v="2792.74"/>
    <x v="59"/>
  </r>
  <r>
    <n v="102"/>
    <x v="57"/>
    <x v="12"/>
    <x v="3"/>
    <x v="3"/>
    <x v="6"/>
    <n v="9"/>
    <x v="60"/>
    <n v="344.09800000000001"/>
    <n v="2498.7600000000002"/>
    <x v="60"/>
  </r>
  <r>
    <n v="163"/>
    <x v="58"/>
    <x v="13"/>
    <x v="2"/>
    <x v="3"/>
    <x v="0"/>
    <n v="9"/>
    <x v="61"/>
    <n v="512.52599999999995"/>
    <n v="2486.9340000000002"/>
    <x v="61"/>
  </r>
  <r>
    <n v="264"/>
    <x v="59"/>
    <x v="12"/>
    <x v="1"/>
    <x v="4"/>
    <x v="3"/>
    <n v="10"/>
    <x v="62"/>
    <n v="667.28200000000004"/>
    <n v="2749.28"/>
    <x v="62"/>
  </r>
  <r>
    <n v="101"/>
    <x v="60"/>
    <x v="8"/>
    <x v="3"/>
    <x v="1"/>
    <x v="2"/>
    <n v="1"/>
    <x v="63"/>
    <n v="280.72000000000003"/>
    <n v="273.49400000000003"/>
    <x v="63"/>
  </r>
  <r>
    <n v="159"/>
    <x v="61"/>
    <x v="8"/>
    <x v="0"/>
    <x v="2"/>
    <x v="4"/>
    <n v="3"/>
    <x v="64"/>
    <n v="464.54599999999999"/>
    <n v="803.28"/>
    <x v="64"/>
  </r>
  <r>
    <n v="37"/>
    <x v="62"/>
    <x v="7"/>
    <x v="1"/>
    <x v="1"/>
    <x v="3"/>
    <n v="6"/>
    <x v="65"/>
    <n v="424.45800000000003"/>
    <n v="1605.78"/>
    <x v="65"/>
  </r>
  <r>
    <n v="152"/>
    <x v="63"/>
    <x v="4"/>
    <x v="4"/>
    <x v="2"/>
    <x v="9"/>
    <n v="5"/>
    <x v="66"/>
    <n v="653.57399999999996"/>
    <n v="1328.76"/>
    <x v="66"/>
  </r>
  <r>
    <n v="232"/>
    <x v="64"/>
    <x v="7"/>
    <x v="1"/>
    <x v="0"/>
    <x v="7"/>
    <n v="1"/>
    <x v="67"/>
    <n v="634.75"/>
    <n v="263.97199999999998"/>
    <x v="67"/>
  </r>
  <r>
    <n v="216"/>
    <x v="13"/>
    <x v="1"/>
    <x v="1"/>
    <x v="3"/>
    <x v="8"/>
    <n v="2"/>
    <x v="68"/>
    <n v="360.59"/>
    <n v="527.64400000000001"/>
    <x v="68"/>
  </r>
  <r>
    <n v="210"/>
    <x v="65"/>
    <x v="4"/>
    <x v="4"/>
    <x v="1"/>
    <x v="5"/>
    <n v="3"/>
    <x v="69"/>
    <n v="483.04399999999998"/>
    <n v="790.49400000000003"/>
    <x v="69"/>
  </r>
  <r>
    <n v="136"/>
    <x v="66"/>
    <x v="9"/>
    <x v="4"/>
    <x v="0"/>
    <x v="6"/>
    <n v="8"/>
    <x v="70"/>
    <n v="289.60000000000002"/>
    <n v="2078.4"/>
    <x v="70"/>
  </r>
  <r>
    <n v="157"/>
    <x v="67"/>
    <x v="4"/>
    <x v="2"/>
    <x v="4"/>
    <x v="5"/>
    <n v="8"/>
    <x v="71"/>
    <n v="645.09400000000005"/>
    <n v="2071.12"/>
    <x v="71"/>
  </r>
  <r>
    <n v="150"/>
    <x v="68"/>
    <x v="2"/>
    <x v="2"/>
    <x v="4"/>
    <x v="5"/>
    <n v="4"/>
    <x v="72"/>
    <n v="549.03599999999994"/>
    <n v="1034.48"/>
    <x v="72"/>
  </r>
  <r>
    <n v="231"/>
    <x v="50"/>
    <x v="11"/>
    <x v="1"/>
    <x v="4"/>
    <x v="7"/>
    <n v="9"/>
    <x v="73"/>
    <n v="362.75400000000002"/>
    <n v="2302.1460000000002"/>
    <x v="73"/>
  </r>
  <r>
    <n v="130"/>
    <x v="69"/>
    <x v="13"/>
    <x v="2"/>
    <x v="2"/>
    <x v="7"/>
    <n v="10"/>
    <x v="74"/>
    <n v="267.79199999999997"/>
    <n v="2545.88"/>
    <x v="74"/>
  </r>
  <r>
    <n v="111"/>
    <x v="46"/>
    <x v="6"/>
    <x v="2"/>
    <x v="4"/>
    <x v="6"/>
    <n v="7"/>
    <x v="75"/>
    <n v="342.78399999999999"/>
    <n v="1774.682"/>
    <x v="75"/>
  </r>
  <r>
    <n v="202"/>
    <x v="70"/>
    <x v="7"/>
    <x v="3"/>
    <x v="3"/>
    <x v="0"/>
    <n v="10"/>
    <x v="76"/>
    <n v="478.36599999999999"/>
    <n v="2521.2800000000002"/>
    <x v="76"/>
  </r>
  <r>
    <n v="194"/>
    <x v="71"/>
    <x v="1"/>
    <x v="2"/>
    <x v="3"/>
    <x v="9"/>
    <n v="8"/>
    <x v="77"/>
    <n v="352.80399999999997"/>
    <n v="2009.0239999999999"/>
    <x v="77"/>
  </r>
  <r>
    <n v="75"/>
    <x v="59"/>
    <x v="6"/>
    <x v="2"/>
    <x v="2"/>
    <x v="8"/>
    <n v="3"/>
    <x v="78"/>
    <n v="311.73399999999998"/>
    <n v="748.93200000000002"/>
    <x v="78"/>
  </r>
  <r>
    <n v="9"/>
    <x v="53"/>
    <x v="5"/>
    <x v="0"/>
    <x v="1"/>
    <x v="3"/>
    <n v="7"/>
    <x v="79"/>
    <n v="461.77800000000002"/>
    <n v="1745.3240000000001"/>
    <x v="79"/>
  </r>
  <r>
    <n v="241"/>
    <x v="72"/>
    <x v="5"/>
    <x v="2"/>
    <x v="0"/>
    <x v="0"/>
    <n v="6"/>
    <x v="80"/>
    <n v="587.98599999999999"/>
    <n v="1487.472"/>
    <x v="80"/>
  </r>
  <r>
    <n v="171"/>
    <x v="73"/>
    <x v="10"/>
    <x v="2"/>
    <x v="0"/>
    <x v="4"/>
    <n v="5"/>
    <x v="81"/>
    <n v="604.89800000000002"/>
    <n v="1236.07"/>
    <x v="81"/>
  </r>
  <r>
    <n v="178"/>
    <x v="0"/>
    <x v="7"/>
    <x v="0"/>
    <x v="2"/>
    <x v="9"/>
    <n v="6"/>
    <x v="82"/>
    <n v="549.9"/>
    <n v="1481.808"/>
    <x v="82"/>
  </r>
  <r>
    <n v="35"/>
    <x v="48"/>
    <x v="7"/>
    <x v="2"/>
    <x v="0"/>
    <x v="7"/>
    <n v="7"/>
    <x v="83"/>
    <n v="429.95600000000002"/>
    <n v="1703.3240000000001"/>
    <x v="83"/>
  </r>
  <r>
    <n v="206"/>
    <x v="74"/>
    <x v="1"/>
    <x v="2"/>
    <x v="2"/>
    <x v="9"/>
    <n v="10"/>
    <x v="84"/>
    <n v="575.85400000000004"/>
    <n v="2423.44"/>
    <x v="84"/>
  </r>
  <r>
    <n v="61"/>
    <x v="75"/>
    <x v="1"/>
    <x v="0"/>
    <x v="0"/>
    <x v="2"/>
    <n v="7"/>
    <x v="85"/>
    <n v="247.126"/>
    <n v="1691.578"/>
    <x v="85"/>
  </r>
  <r>
    <n v="40"/>
    <x v="76"/>
    <x v="8"/>
    <x v="4"/>
    <x v="1"/>
    <x v="3"/>
    <n v="2"/>
    <x v="86"/>
    <n v="499.28800000000001"/>
    <n v="481.14"/>
    <x v="86"/>
  </r>
  <r>
    <n v="108"/>
    <x v="77"/>
    <x v="8"/>
    <x v="2"/>
    <x v="1"/>
    <x v="8"/>
    <n v="8"/>
    <x v="87"/>
    <n v="594.61199999999997"/>
    <n v="1921.424"/>
    <x v="87"/>
  </r>
  <r>
    <n v="283"/>
    <x v="17"/>
    <x v="1"/>
    <x v="3"/>
    <x v="4"/>
    <x v="1"/>
    <n v="8"/>
    <x v="88"/>
    <n v="329.70400000000001"/>
    <n v="1915.2159999999999"/>
    <x v="88"/>
  </r>
  <r>
    <n v="20"/>
    <x v="78"/>
    <x v="0"/>
    <x v="0"/>
    <x v="1"/>
    <x v="1"/>
    <n v="6"/>
    <x v="89"/>
    <n v="485.00200000000001"/>
    <n v="1431.96"/>
    <x v="89"/>
  </r>
  <r>
    <n v="24"/>
    <x v="50"/>
    <x v="12"/>
    <x v="3"/>
    <x v="2"/>
    <x v="3"/>
    <n v="2"/>
    <x v="90"/>
    <n v="440.85199999999998"/>
    <n v="476.38799999999998"/>
    <x v="90"/>
  </r>
  <r>
    <n v="167"/>
    <x v="14"/>
    <x v="1"/>
    <x v="3"/>
    <x v="0"/>
    <x v="1"/>
    <n v="8"/>
    <x v="91"/>
    <n v="298.714"/>
    <n v="1902.24"/>
    <x v="91"/>
  </r>
  <r>
    <n v="103"/>
    <x v="68"/>
    <x v="9"/>
    <x v="2"/>
    <x v="4"/>
    <x v="5"/>
    <n v="10"/>
    <x v="92"/>
    <n v="757.26"/>
    <n v="2373.62"/>
    <x v="92"/>
  </r>
  <r>
    <n v="296"/>
    <x v="79"/>
    <x v="2"/>
    <x v="3"/>
    <x v="4"/>
    <x v="6"/>
    <n v="8"/>
    <x v="93"/>
    <n v="279.24"/>
    <n v="1880.6079999999999"/>
    <x v="93"/>
  </r>
  <r>
    <n v="85"/>
    <x v="80"/>
    <x v="5"/>
    <x v="4"/>
    <x v="1"/>
    <x v="2"/>
    <n v="3"/>
    <x v="94"/>
    <n v="445.48399999999998"/>
    <n v="704.01"/>
    <x v="94"/>
  </r>
  <r>
    <n v="11"/>
    <x v="81"/>
    <x v="2"/>
    <x v="2"/>
    <x v="4"/>
    <x v="6"/>
    <n v="9"/>
    <x v="95"/>
    <n v="249.43600000000001"/>
    <n v="2104.0920000000001"/>
    <x v="95"/>
  </r>
  <r>
    <n v="64"/>
    <x v="82"/>
    <x v="6"/>
    <x v="3"/>
    <x v="0"/>
    <x v="1"/>
    <n v="9"/>
    <x v="96"/>
    <n v="634.45000000000005"/>
    <n v="2096.442"/>
    <x v="96"/>
  </r>
  <r>
    <n v="190"/>
    <x v="23"/>
    <x v="8"/>
    <x v="2"/>
    <x v="1"/>
    <x v="5"/>
    <n v="9"/>
    <x v="97"/>
    <n v="298.52800000000002"/>
    <n v="2083.3919999999998"/>
    <x v="97"/>
  </r>
  <r>
    <n v="151"/>
    <x v="83"/>
    <x v="10"/>
    <x v="1"/>
    <x v="2"/>
    <x v="1"/>
    <n v="3"/>
    <x v="98"/>
    <n v="565.51800000000003"/>
    <n v="691.98599999999999"/>
    <x v="98"/>
  </r>
  <r>
    <n v="105"/>
    <x v="84"/>
    <x v="11"/>
    <x v="2"/>
    <x v="3"/>
    <x v="8"/>
    <n v="5"/>
    <x v="99"/>
    <n v="401.55200000000002"/>
    <n v="1151.04"/>
    <x v="99"/>
  </r>
  <r>
    <n v="119"/>
    <x v="85"/>
    <x v="2"/>
    <x v="3"/>
    <x v="2"/>
    <x v="8"/>
    <n v="4"/>
    <x v="100"/>
    <n v="704.28800000000001"/>
    <n v="914.99199999999996"/>
    <x v="100"/>
  </r>
  <r>
    <n v="182"/>
    <x v="86"/>
    <x v="13"/>
    <x v="3"/>
    <x v="4"/>
    <x v="5"/>
    <n v="8"/>
    <x v="101"/>
    <n v="567.14400000000001"/>
    <n v="1805.904"/>
    <x v="101"/>
  </r>
  <r>
    <n v="213"/>
    <x v="87"/>
    <x v="8"/>
    <x v="4"/>
    <x v="3"/>
    <x v="5"/>
    <n v="1"/>
    <x v="102"/>
    <n v="607.97199999999998"/>
    <n v="224.846"/>
    <x v="102"/>
  </r>
  <r>
    <n v="233"/>
    <x v="36"/>
    <x v="5"/>
    <x v="2"/>
    <x v="0"/>
    <x v="5"/>
    <n v="5"/>
    <x v="103"/>
    <n v="245.178"/>
    <n v="1123.24"/>
    <x v="103"/>
  </r>
  <r>
    <n v="160"/>
    <x v="88"/>
    <x v="1"/>
    <x v="4"/>
    <x v="0"/>
    <x v="1"/>
    <n v="3"/>
    <x v="104"/>
    <n v="551.11800000000005"/>
    <n v="672.71400000000006"/>
    <x v="104"/>
  </r>
  <r>
    <n v="255"/>
    <x v="89"/>
    <x v="10"/>
    <x v="2"/>
    <x v="1"/>
    <x v="6"/>
    <n v="2"/>
    <x v="105"/>
    <n v="514.86800000000005"/>
    <n v="444.35199999999998"/>
    <x v="105"/>
  </r>
  <r>
    <n v="191"/>
    <x v="90"/>
    <x v="7"/>
    <x v="4"/>
    <x v="0"/>
    <x v="5"/>
    <n v="1"/>
    <x v="106"/>
    <n v="247.77799999999999"/>
    <n v="217.38200000000001"/>
    <x v="106"/>
  </r>
  <r>
    <n v="3"/>
    <x v="91"/>
    <x v="8"/>
    <x v="1"/>
    <x v="4"/>
    <x v="7"/>
    <n v="6"/>
    <x v="107"/>
    <n v="546.51800000000003"/>
    <n v="1299.624"/>
    <x v="107"/>
  </r>
  <r>
    <n v="285"/>
    <x v="92"/>
    <x v="8"/>
    <x v="0"/>
    <x v="4"/>
    <x v="8"/>
    <n v="4"/>
    <x v="108"/>
    <n v="657.67600000000004"/>
    <n v="863.06399999999996"/>
    <x v="108"/>
  </r>
  <r>
    <n v="295"/>
    <x v="93"/>
    <x v="12"/>
    <x v="1"/>
    <x v="0"/>
    <x v="9"/>
    <n v="8"/>
    <x v="109"/>
    <n v="453.93400000000003"/>
    <n v="1723.8720000000001"/>
    <x v="109"/>
  </r>
  <r>
    <n v="297"/>
    <x v="94"/>
    <x v="7"/>
    <x v="3"/>
    <x v="2"/>
    <x v="2"/>
    <n v="4"/>
    <x v="110"/>
    <n v="496.06"/>
    <n v="856.8"/>
    <x v="110"/>
  </r>
  <r>
    <n v="79"/>
    <x v="95"/>
    <x v="11"/>
    <x v="1"/>
    <x v="2"/>
    <x v="9"/>
    <n v="3"/>
    <x v="111"/>
    <n v="731.26400000000001"/>
    <n v="641.226"/>
    <x v="111"/>
  </r>
  <r>
    <n v="298"/>
    <x v="96"/>
    <x v="4"/>
    <x v="1"/>
    <x v="0"/>
    <x v="9"/>
    <n v="10"/>
    <x v="112"/>
    <n v="413.75799999999998"/>
    <n v="2134.88"/>
    <x v="112"/>
  </r>
  <r>
    <n v="107"/>
    <x v="97"/>
    <x v="9"/>
    <x v="1"/>
    <x v="2"/>
    <x v="1"/>
    <n v="7"/>
    <x v="113"/>
    <n v="231.934"/>
    <n v="1491.2239999999999"/>
    <x v="113"/>
  </r>
  <r>
    <n v="97"/>
    <x v="36"/>
    <x v="12"/>
    <x v="3"/>
    <x v="2"/>
    <x v="1"/>
    <n v="10"/>
    <x v="114"/>
    <n v="433.93599999999998"/>
    <n v="2102.3000000000002"/>
    <x v="114"/>
  </r>
  <r>
    <n v="118"/>
    <x v="81"/>
    <x v="13"/>
    <x v="3"/>
    <x v="3"/>
    <x v="2"/>
    <n v="7"/>
    <x v="115"/>
    <n v="428.38"/>
    <n v="1453.83"/>
    <x v="115"/>
  </r>
  <r>
    <n v="77"/>
    <x v="72"/>
    <x v="3"/>
    <x v="4"/>
    <x v="0"/>
    <x v="4"/>
    <n v="10"/>
    <x v="116"/>
    <n v="416.96800000000002"/>
    <n v="2076.16"/>
    <x v="116"/>
  </r>
  <r>
    <n v="224"/>
    <x v="29"/>
    <x v="10"/>
    <x v="2"/>
    <x v="4"/>
    <x v="4"/>
    <n v="2"/>
    <x v="117"/>
    <n v="780.33799999999997"/>
    <n v="413.64800000000002"/>
    <x v="117"/>
  </r>
  <r>
    <n v="140"/>
    <x v="32"/>
    <x v="2"/>
    <x v="4"/>
    <x v="1"/>
    <x v="4"/>
    <n v="1"/>
    <x v="118"/>
    <n v="463.70800000000003"/>
    <n v="206.43199999999999"/>
    <x v="118"/>
  </r>
  <r>
    <n v="242"/>
    <x v="98"/>
    <x v="2"/>
    <x v="0"/>
    <x v="1"/>
    <x v="5"/>
    <n v="9"/>
    <x v="119"/>
    <n v="360.23399999999998"/>
    <n v="1857.222"/>
    <x v="119"/>
  </r>
  <r>
    <n v="186"/>
    <x v="99"/>
    <x v="10"/>
    <x v="4"/>
    <x v="0"/>
    <x v="2"/>
    <n v="5"/>
    <x v="120"/>
    <n v="384.54199999999997"/>
    <n v="1029.17"/>
    <x v="120"/>
  </r>
  <r>
    <n v="74"/>
    <x v="100"/>
    <x v="4"/>
    <x v="2"/>
    <x v="4"/>
    <x v="0"/>
    <n v="10"/>
    <x v="121"/>
    <n v="572.51800000000003"/>
    <n v="2054.1"/>
    <x v="121"/>
  </r>
  <r>
    <n v="15"/>
    <x v="101"/>
    <x v="9"/>
    <x v="4"/>
    <x v="2"/>
    <x v="2"/>
    <n v="9"/>
    <x v="122"/>
    <n v="260.226"/>
    <n v="1827.0719999999999"/>
    <x v="122"/>
  </r>
  <r>
    <n v="203"/>
    <x v="102"/>
    <x v="7"/>
    <x v="1"/>
    <x v="4"/>
    <x v="1"/>
    <n v="4"/>
    <x v="123"/>
    <n v="571.09799999999996"/>
    <n v="807.44799999999998"/>
    <x v="123"/>
  </r>
  <r>
    <n v="109"/>
    <x v="103"/>
    <x v="6"/>
    <x v="3"/>
    <x v="3"/>
    <x v="2"/>
    <n v="9"/>
    <x v="124"/>
    <n v="649.774"/>
    <n v="1810.2059999999999"/>
    <x v="124"/>
  </r>
  <r>
    <n v="18"/>
    <x v="104"/>
    <x v="7"/>
    <x v="2"/>
    <x v="4"/>
    <x v="9"/>
    <n v="9"/>
    <x v="125"/>
    <n v="260.44400000000002"/>
    <n v="1801.7280000000001"/>
    <x v="125"/>
  </r>
  <r>
    <n v="236"/>
    <x v="50"/>
    <x v="13"/>
    <x v="3"/>
    <x v="2"/>
    <x v="3"/>
    <n v="6"/>
    <x v="126"/>
    <n v="501.40600000000001"/>
    <n v="1197.06"/>
    <x v="126"/>
  </r>
  <r>
    <n v="70"/>
    <x v="105"/>
    <x v="12"/>
    <x v="0"/>
    <x v="0"/>
    <x v="1"/>
    <n v="7"/>
    <x v="127"/>
    <n v="772.678"/>
    <n v="1395.212"/>
    <x v="127"/>
  </r>
  <r>
    <n v="121"/>
    <x v="106"/>
    <x v="10"/>
    <x v="3"/>
    <x v="3"/>
    <x v="6"/>
    <n v="6"/>
    <x v="128"/>
    <n v="279.82400000000001"/>
    <n v="1191.828"/>
    <x v="128"/>
  </r>
  <r>
    <n v="99"/>
    <x v="107"/>
    <x v="12"/>
    <x v="1"/>
    <x v="2"/>
    <x v="3"/>
    <n v="7"/>
    <x v="129"/>
    <n v="600.59"/>
    <n v="1386.644"/>
    <x v="129"/>
  </r>
  <r>
    <n v="129"/>
    <x v="85"/>
    <x v="6"/>
    <x v="2"/>
    <x v="4"/>
    <x v="4"/>
    <n v="8"/>
    <x v="130"/>
    <n v="443.13200000000001"/>
    <n v="1563.4079999999999"/>
    <x v="130"/>
  </r>
  <r>
    <n v="14"/>
    <x v="11"/>
    <x v="9"/>
    <x v="0"/>
    <x v="3"/>
    <x v="1"/>
    <n v="1"/>
    <x v="131"/>
    <n v="598.17200000000003"/>
    <n v="195.32599999999999"/>
    <x v="131"/>
  </r>
  <r>
    <n v="8"/>
    <x v="59"/>
    <x v="9"/>
    <x v="0"/>
    <x v="1"/>
    <x v="0"/>
    <n v="7"/>
    <x v="132"/>
    <n v="391.01799999999997"/>
    <n v="1359.7360000000001"/>
    <x v="132"/>
  </r>
  <r>
    <n v="165"/>
    <x v="108"/>
    <x v="7"/>
    <x v="4"/>
    <x v="3"/>
    <x v="9"/>
    <n v="5"/>
    <x v="133"/>
    <n v="434.67599999999999"/>
    <n v="969.14"/>
    <x v="133"/>
  </r>
  <r>
    <n v="80"/>
    <x v="109"/>
    <x v="12"/>
    <x v="0"/>
    <x v="0"/>
    <x v="7"/>
    <n v="6"/>
    <x v="134"/>
    <n v="456.988"/>
    <n v="1152.384"/>
    <x v="134"/>
  </r>
  <r>
    <n v="122"/>
    <x v="27"/>
    <x v="12"/>
    <x v="2"/>
    <x v="0"/>
    <x v="4"/>
    <n v="2"/>
    <x v="135"/>
    <n v="230.25399999999999"/>
    <n v="382.70400000000001"/>
    <x v="135"/>
  </r>
  <r>
    <n v="89"/>
    <x v="102"/>
    <x v="5"/>
    <x v="0"/>
    <x v="3"/>
    <x v="6"/>
    <n v="8"/>
    <x v="136"/>
    <n v="702.21799999999996"/>
    <n v="1526.3520000000001"/>
    <x v="136"/>
  </r>
  <r>
    <n v="247"/>
    <x v="110"/>
    <x v="10"/>
    <x v="2"/>
    <x v="3"/>
    <x v="4"/>
    <n v="3"/>
    <x v="137"/>
    <n v="731.37400000000002"/>
    <n v="564.41399999999999"/>
    <x v="137"/>
  </r>
  <r>
    <n v="132"/>
    <x v="87"/>
    <x v="3"/>
    <x v="2"/>
    <x v="0"/>
    <x v="1"/>
    <n v="9"/>
    <x v="138"/>
    <n v="340.97199999999998"/>
    <n v="1681.1279999999999"/>
    <x v="138"/>
  </r>
  <r>
    <n v="106"/>
    <x v="111"/>
    <x v="11"/>
    <x v="2"/>
    <x v="0"/>
    <x v="8"/>
    <n v="8"/>
    <x v="139"/>
    <n v="551.33199999999999"/>
    <n v="1492.32"/>
    <x v="139"/>
  </r>
  <r>
    <n v="27"/>
    <x v="94"/>
    <x v="5"/>
    <x v="2"/>
    <x v="2"/>
    <x v="9"/>
    <n v="2"/>
    <x v="140"/>
    <n v="506.166"/>
    <n v="372.68400000000003"/>
    <x v="140"/>
  </r>
  <r>
    <n v="10"/>
    <x v="112"/>
    <x v="7"/>
    <x v="0"/>
    <x v="0"/>
    <x v="1"/>
    <n v="3"/>
    <x v="141"/>
    <n v="245.42599999999999"/>
    <n v="558.56399999999996"/>
    <x v="141"/>
  </r>
  <r>
    <n v="141"/>
    <x v="113"/>
    <x v="6"/>
    <x v="0"/>
    <x v="4"/>
    <x v="3"/>
    <n v="6"/>
    <x v="142"/>
    <n v="533.14599999999996"/>
    <n v="1117.008"/>
    <x v="142"/>
  </r>
  <r>
    <n v="131"/>
    <x v="50"/>
    <x v="4"/>
    <x v="0"/>
    <x v="1"/>
    <x v="1"/>
    <n v="9"/>
    <x v="143"/>
    <n v="227.17599999999999"/>
    <n v="1671.03"/>
    <x v="143"/>
  </r>
  <r>
    <n v="250"/>
    <x v="114"/>
    <x v="10"/>
    <x v="3"/>
    <x v="4"/>
    <x v="3"/>
    <n v="1"/>
    <x v="144"/>
    <n v="547.46"/>
    <n v="185.27600000000001"/>
    <x v="144"/>
  </r>
  <r>
    <n v="113"/>
    <x v="115"/>
    <x v="7"/>
    <x v="3"/>
    <x v="0"/>
    <x v="6"/>
    <n v="3"/>
    <x v="145"/>
    <n v="242.83"/>
    <n v="545.82000000000005"/>
    <x v="145"/>
  </r>
  <r>
    <n v="5"/>
    <x v="51"/>
    <x v="6"/>
    <x v="1"/>
    <x v="1"/>
    <x v="8"/>
    <n v="4"/>
    <x v="146"/>
    <n v="512.904"/>
    <n v="726.06399999999996"/>
    <x v="146"/>
  </r>
  <r>
    <n v="223"/>
    <x v="116"/>
    <x v="5"/>
    <x v="4"/>
    <x v="0"/>
    <x v="9"/>
    <n v="7"/>
    <x v="147"/>
    <n v="253.316"/>
    <n v="1250.7739999999999"/>
    <x v="147"/>
  </r>
  <r>
    <n v="180"/>
    <x v="117"/>
    <x v="11"/>
    <x v="1"/>
    <x v="2"/>
    <x v="1"/>
    <n v="8"/>
    <x v="148"/>
    <n v="204.774"/>
    <n v="1417.952"/>
    <x v="148"/>
  </r>
  <r>
    <n v="42"/>
    <x v="118"/>
    <x v="5"/>
    <x v="0"/>
    <x v="0"/>
    <x v="7"/>
    <n v="2"/>
    <x v="149"/>
    <n v="248.26599999999999"/>
    <n v="353.2"/>
    <x v="149"/>
  </r>
  <r>
    <n v="193"/>
    <x v="119"/>
    <x v="1"/>
    <x v="4"/>
    <x v="2"/>
    <x v="6"/>
    <n v="1"/>
    <x v="150"/>
    <n v="447.666"/>
    <n v="175.636"/>
    <x v="150"/>
  </r>
  <r>
    <n v="153"/>
    <x v="120"/>
    <x v="1"/>
    <x v="0"/>
    <x v="1"/>
    <x v="4"/>
    <n v="6"/>
    <x v="151"/>
    <n v="180.328"/>
    <n v="1053.42"/>
    <x v="151"/>
  </r>
  <r>
    <n v="243"/>
    <x v="121"/>
    <x v="10"/>
    <x v="4"/>
    <x v="0"/>
    <x v="5"/>
    <n v="6"/>
    <x v="152"/>
    <n v="393.33"/>
    <n v="1040.7719999999999"/>
    <x v="152"/>
  </r>
  <r>
    <n v="214"/>
    <x v="122"/>
    <x v="1"/>
    <x v="4"/>
    <x v="2"/>
    <x v="3"/>
    <n v="10"/>
    <x v="153"/>
    <n v="343.82799999999997"/>
    <n v="1725.78"/>
    <x v="153"/>
  </r>
  <r>
    <n v="253"/>
    <x v="16"/>
    <x v="3"/>
    <x v="0"/>
    <x v="1"/>
    <x v="2"/>
    <n v="9"/>
    <x v="154"/>
    <n v="389.64"/>
    <n v="1549.17"/>
    <x v="154"/>
  </r>
  <r>
    <n v="221"/>
    <x v="24"/>
    <x v="1"/>
    <x v="4"/>
    <x v="3"/>
    <x v="4"/>
    <n v="2"/>
    <x v="155"/>
    <n v="304.79399999999998"/>
    <n v="341.25599999999997"/>
    <x v="155"/>
  </r>
  <r>
    <n v="169"/>
    <x v="123"/>
    <x v="0"/>
    <x v="3"/>
    <x v="1"/>
    <x v="9"/>
    <n v="10"/>
    <x v="156"/>
    <n v="446.45600000000002"/>
    <n v="1703.64"/>
    <x v="156"/>
  </r>
  <r>
    <n v="50"/>
    <x v="124"/>
    <x v="8"/>
    <x v="1"/>
    <x v="2"/>
    <x v="2"/>
    <n v="3"/>
    <x v="157"/>
    <n v="660.41200000000003"/>
    <n v="507.01799999999997"/>
    <x v="157"/>
  </r>
  <r>
    <n v="25"/>
    <x v="124"/>
    <x v="12"/>
    <x v="3"/>
    <x v="2"/>
    <x v="9"/>
    <n v="7"/>
    <x v="158"/>
    <n v="530.33199999999999"/>
    <n v="1180.69"/>
    <x v="158"/>
  </r>
  <r>
    <n v="189"/>
    <x v="125"/>
    <x v="9"/>
    <x v="4"/>
    <x v="4"/>
    <x v="6"/>
    <n v="2"/>
    <x v="159"/>
    <n v="226.84"/>
    <n v="335.464"/>
    <x v="159"/>
  </r>
  <r>
    <n v="48"/>
    <x v="126"/>
    <x v="12"/>
    <x v="1"/>
    <x v="4"/>
    <x v="4"/>
    <n v="4"/>
    <x v="160"/>
    <n v="260.44600000000003"/>
    <n v="669.87199999999996"/>
    <x v="160"/>
  </r>
  <r>
    <n v="32"/>
    <x v="127"/>
    <x v="9"/>
    <x v="3"/>
    <x v="2"/>
    <x v="3"/>
    <n v="9"/>
    <x v="161"/>
    <n v="599.50599999999997"/>
    <n v="1506.51"/>
    <x v="161"/>
  </r>
  <r>
    <n v="226"/>
    <x v="66"/>
    <x v="2"/>
    <x v="4"/>
    <x v="3"/>
    <x v="1"/>
    <n v="3"/>
    <x v="162"/>
    <n v="430.142"/>
    <n v="489.13200000000001"/>
    <x v="162"/>
  </r>
  <r>
    <n v="228"/>
    <x v="128"/>
    <x v="9"/>
    <x v="4"/>
    <x v="0"/>
    <x v="3"/>
    <n v="6"/>
    <x v="163"/>
    <n v="350.35199999999998"/>
    <n v="975.96"/>
    <x v="163"/>
  </r>
  <r>
    <n v="181"/>
    <x v="129"/>
    <x v="7"/>
    <x v="3"/>
    <x v="2"/>
    <x v="4"/>
    <n v="5"/>
    <x v="164"/>
    <n v="434.54"/>
    <n v="810.4"/>
    <x v="164"/>
  </r>
  <r>
    <n v="67"/>
    <x v="130"/>
    <x v="4"/>
    <x v="2"/>
    <x v="4"/>
    <x v="5"/>
    <n v="1"/>
    <x v="165"/>
    <n v="259.30399999999997"/>
    <n v="161.65600000000001"/>
    <x v="165"/>
  </r>
  <r>
    <n v="23"/>
    <x v="131"/>
    <x v="13"/>
    <x v="0"/>
    <x v="1"/>
    <x v="3"/>
    <n v="10"/>
    <x v="166"/>
    <n v="419.95800000000003"/>
    <n v="1592.4"/>
    <x v="166"/>
  </r>
  <r>
    <n v="73"/>
    <x v="132"/>
    <x v="2"/>
    <x v="3"/>
    <x v="1"/>
    <x v="0"/>
    <n v="2"/>
    <x v="167"/>
    <n v="201.56800000000001"/>
    <n v="316.12"/>
    <x v="167"/>
  </r>
  <r>
    <n v="26"/>
    <x v="133"/>
    <x v="9"/>
    <x v="3"/>
    <x v="4"/>
    <x v="7"/>
    <n v="4"/>
    <x v="168"/>
    <n v="538.54999999999995"/>
    <n v="630.024"/>
    <x v="168"/>
  </r>
  <r>
    <n v="268"/>
    <x v="134"/>
    <x v="0"/>
    <x v="1"/>
    <x v="1"/>
    <x v="5"/>
    <n v="9"/>
    <x v="169"/>
    <n v="471.38"/>
    <n v="1407.33"/>
    <x v="169"/>
  </r>
  <r>
    <n v="87"/>
    <x v="135"/>
    <x v="0"/>
    <x v="3"/>
    <x v="2"/>
    <x v="1"/>
    <n v="1"/>
    <x v="170"/>
    <n v="416.35"/>
    <n v="155.35400000000001"/>
    <x v="170"/>
  </r>
  <r>
    <n v="278"/>
    <x v="136"/>
    <x v="7"/>
    <x v="4"/>
    <x v="4"/>
    <x v="1"/>
    <n v="9"/>
    <x v="171"/>
    <n v="411.02199999999999"/>
    <n v="1395.5039999999999"/>
    <x v="171"/>
  </r>
  <r>
    <n v="254"/>
    <x v="137"/>
    <x v="11"/>
    <x v="3"/>
    <x v="3"/>
    <x v="1"/>
    <n v="8"/>
    <x v="172"/>
    <n v="405.07"/>
    <n v="1239.568"/>
    <x v="172"/>
  </r>
  <r>
    <n v="30"/>
    <x v="51"/>
    <x v="0"/>
    <x v="0"/>
    <x v="2"/>
    <x v="2"/>
    <n v="2"/>
    <x v="173"/>
    <n v="197.69200000000001"/>
    <n v="309.476"/>
    <x v="173"/>
  </r>
  <r>
    <n v="219"/>
    <x v="138"/>
    <x v="11"/>
    <x v="2"/>
    <x v="2"/>
    <x v="8"/>
    <n v="6"/>
    <x v="174"/>
    <n v="611.83600000000001"/>
    <n v="923.16"/>
    <x v="174"/>
  </r>
  <r>
    <n v="44"/>
    <x v="16"/>
    <x v="10"/>
    <x v="4"/>
    <x v="2"/>
    <x v="0"/>
    <n v="2"/>
    <x v="175"/>
    <n v="213.36199999999999"/>
    <n v="307.07600000000002"/>
    <x v="175"/>
  </r>
  <r>
    <n v="127"/>
    <x v="139"/>
    <x v="13"/>
    <x v="0"/>
    <x v="4"/>
    <x v="1"/>
    <n v="7"/>
    <x v="176"/>
    <n v="200.46199999999999"/>
    <n v="1064.1400000000001"/>
    <x v="176"/>
  </r>
  <r>
    <n v="234"/>
    <x v="140"/>
    <x v="6"/>
    <x v="4"/>
    <x v="4"/>
    <x v="5"/>
    <n v="7"/>
    <x v="177"/>
    <n v="389.11799999999999"/>
    <n v="1057.21"/>
    <x v="177"/>
  </r>
  <r>
    <n v="22"/>
    <x v="13"/>
    <x v="2"/>
    <x v="1"/>
    <x v="0"/>
    <x v="7"/>
    <n v="10"/>
    <x v="178"/>
    <n v="379.93799999999999"/>
    <n v="1499.72"/>
    <x v="178"/>
  </r>
  <r>
    <n v="177"/>
    <x v="141"/>
    <x v="7"/>
    <x v="4"/>
    <x v="1"/>
    <x v="6"/>
    <n v="3"/>
    <x v="179"/>
    <n v="240.38800000000001"/>
    <n v="443.4"/>
    <x v="179"/>
  </r>
  <r>
    <n v="47"/>
    <x v="142"/>
    <x v="7"/>
    <x v="1"/>
    <x v="0"/>
    <x v="1"/>
    <n v="9"/>
    <x v="180"/>
    <n v="168.24"/>
    <n v="1329.2280000000001"/>
    <x v="180"/>
  </r>
  <r>
    <n v="65"/>
    <x v="143"/>
    <x v="12"/>
    <x v="0"/>
    <x v="2"/>
    <x v="1"/>
    <n v="6"/>
    <x v="181"/>
    <n v="261.93599999999998"/>
    <n v="882.14400000000001"/>
    <x v="181"/>
  </r>
  <r>
    <n v="62"/>
    <x v="13"/>
    <x v="8"/>
    <x v="1"/>
    <x v="3"/>
    <x v="2"/>
    <n v="5"/>
    <x v="182"/>
    <n v="327.63200000000001"/>
    <n v="726.46"/>
    <x v="182"/>
  </r>
  <r>
    <n v="205"/>
    <x v="93"/>
    <x v="9"/>
    <x v="4"/>
    <x v="2"/>
    <x v="6"/>
    <n v="6"/>
    <x v="183"/>
    <n v="558.18799999999999"/>
    <n v="862.94399999999996"/>
    <x v="183"/>
  </r>
  <r>
    <n v="238"/>
    <x v="116"/>
    <x v="12"/>
    <x v="3"/>
    <x v="4"/>
    <x v="5"/>
    <n v="2"/>
    <x v="184"/>
    <n v="410.23599999999999"/>
    <n v="283.22399999999999"/>
    <x v="184"/>
  </r>
  <r>
    <n v="55"/>
    <x v="144"/>
    <x v="2"/>
    <x v="2"/>
    <x v="4"/>
    <x v="1"/>
    <n v="4"/>
    <x v="185"/>
    <n v="499.69"/>
    <n v="563.44000000000005"/>
    <x v="185"/>
  </r>
  <r>
    <n v="290"/>
    <x v="36"/>
    <x v="6"/>
    <x v="2"/>
    <x v="4"/>
    <x v="7"/>
    <n v="7"/>
    <x v="186"/>
    <n v="494.72199999999998"/>
    <n v="983.93399999999997"/>
    <x v="186"/>
  </r>
  <r>
    <n v="188"/>
    <x v="41"/>
    <x v="2"/>
    <x v="2"/>
    <x v="3"/>
    <x v="6"/>
    <n v="10"/>
    <x v="187"/>
    <n v="230.35"/>
    <n v="1400.02"/>
    <x v="187"/>
  </r>
  <r>
    <n v="270"/>
    <x v="17"/>
    <x v="8"/>
    <x v="3"/>
    <x v="3"/>
    <x v="3"/>
    <n v="7"/>
    <x v="188"/>
    <n v="292.86799999999999"/>
    <n v="960.66600000000005"/>
    <x v="188"/>
  </r>
  <r>
    <n v="19"/>
    <x v="145"/>
    <x v="4"/>
    <x v="0"/>
    <x v="1"/>
    <x v="5"/>
    <n v="4"/>
    <x v="189"/>
    <n v="246.51400000000001"/>
    <n v="545.77599999999995"/>
    <x v="189"/>
  </r>
  <r>
    <n v="282"/>
    <x v="146"/>
    <x v="5"/>
    <x v="2"/>
    <x v="2"/>
    <x v="7"/>
    <n v="3"/>
    <x v="190"/>
    <n v="225.292"/>
    <n v="408.81"/>
    <x v="190"/>
  </r>
  <r>
    <n v="46"/>
    <x v="147"/>
    <x v="1"/>
    <x v="0"/>
    <x v="2"/>
    <x v="8"/>
    <n v="10"/>
    <x v="191"/>
    <n v="185.494"/>
    <n v="1357.6"/>
    <x v="191"/>
  </r>
  <r>
    <n v="276"/>
    <x v="148"/>
    <x v="0"/>
    <x v="4"/>
    <x v="0"/>
    <x v="5"/>
    <n v="2"/>
    <x v="192"/>
    <n v="286.84800000000001"/>
    <n v="271.00799999999998"/>
    <x v="192"/>
  </r>
  <r>
    <n v="123"/>
    <x v="149"/>
    <x v="8"/>
    <x v="1"/>
    <x v="1"/>
    <x v="0"/>
    <n v="4"/>
    <x v="193"/>
    <n v="372.33600000000001"/>
    <n v="530.74400000000003"/>
    <x v="193"/>
  </r>
  <r>
    <n v="16"/>
    <x v="56"/>
    <x v="5"/>
    <x v="2"/>
    <x v="3"/>
    <x v="3"/>
    <n v="2"/>
    <x v="194"/>
    <n v="303.25"/>
    <n v="265.35599999999999"/>
    <x v="194"/>
  </r>
  <r>
    <n v="207"/>
    <x v="119"/>
    <x v="5"/>
    <x v="2"/>
    <x v="2"/>
    <x v="2"/>
    <n v="10"/>
    <x v="195"/>
    <n v="377.33600000000001"/>
    <n v="1324.48"/>
    <x v="195"/>
  </r>
  <r>
    <n v="288"/>
    <x v="150"/>
    <x v="10"/>
    <x v="1"/>
    <x v="1"/>
    <x v="4"/>
    <n v="6"/>
    <x v="196"/>
    <n v="249.244"/>
    <n v="790.2"/>
    <x v="196"/>
  </r>
  <r>
    <n v="28"/>
    <x v="151"/>
    <x v="9"/>
    <x v="2"/>
    <x v="0"/>
    <x v="3"/>
    <n v="4"/>
    <x v="197"/>
    <n v="361.88400000000001"/>
    <n v="525.34400000000005"/>
    <x v="197"/>
  </r>
  <r>
    <n v="93"/>
    <x v="152"/>
    <x v="7"/>
    <x v="4"/>
    <x v="1"/>
    <x v="8"/>
    <n v="5"/>
    <x v="198"/>
    <n v="247.07400000000001"/>
    <n v="653.45000000000005"/>
    <x v="198"/>
  </r>
  <r>
    <n v="192"/>
    <x v="153"/>
    <x v="2"/>
    <x v="4"/>
    <x v="3"/>
    <x v="6"/>
    <n v="9"/>
    <x v="199"/>
    <n v="358.63200000000001"/>
    <n v="1162.7639999999999"/>
    <x v="199"/>
  </r>
  <r>
    <n v="57"/>
    <x v="73"/>
    <x v="4"/>
    <x v="4"/>
    <x v="1"/>
    <x v="3"/>
    <n v="10"/>
    <x v="200"/>
    <n v="317.41800000000001"/>
    <n v="1280.28"/>
    <x v="200"/>
  </r>
  <r>
    <n v="300"/>
    <x v="154"/>
    <x v="11"/>
    <x v="0"/>
    <x v="4"/>
    <x v="2"/>
    <n v="7"/>
    <x v="201"/>
    <n v="453.25200000000001"/>
    <n v="891.46400000000006"/>
    <x v="201"/>
  </r>
  <r>
    <n v="277"/>
    <x v="113"/>
    <x v="4"/>
    <x v="4"/>
    <x v="1"/>
    <x v="6"/>
    <n v="7"/>
    <x v="202"/>
    <n v="178.77799999999999"/>
    <n v="887.97799999999995"/>
    <x v="202"/>
  </r>
  <r>
    <n v="198"/>
    <x v="155"/>
    <x v="4"/>
    <x v="2"/>
    <x v="0"/>
    <x v="0"/>
    <n v="10"/>
    <x v="203"/>
    <n v="464.65199999999999"/>
    <n v="1246.2"/>
    <x v="203"/>
  </r>
  <r>
    <n v="245"/>
    <x v="19"/>
    <x v="8"/>
    <x v="1"/>
    <x v="3"/>
    <x v="1"/>
    <n v="9"/>
    <x v="204"/>
    <n v="429.46800000000002"/>
    <n v="1112.04"/>
    <x v="204"/>
  </r>
  <r>
    <n v="116"/>
    <x v="100"/>
    <x v="9"/>
    <x v="0"/>
    <x v="1"/>
    <x v="2"/>
    <n v="6"/>
    <x v="205"/>
    <n v="325.84800000000001"/>
    <n v="735.39599999999996"/>
    <x v="205"/>
  </r>
  <r>
    <n v="158"/>
    <x v="44"/>
    <x v="6"/>
    <x v="3"/>
    <x v="0"/>
    <x v="5"/>
    <n v="8"/>
    <x v="206"/>
    <n v="398.22"/>
    <n v="963.98400000000004"/>
    <x v="206"/>
  </r>
  <r>
    <n v="172"/>
    <x v="26"/>
    <x v="2"/>
    <x v="1"/>
    <x v="2"/>
    <x v="3"/>
    <n v="5"/>
    <x v="207"/>
    <n v="268.13799999999998"/>
    <n v="601.25"/>
    <x v="207"/>
  </r>
  <r>
    <n v="72"/>
    <x v="156"/>
    <x v="2"/>
    <x v="0"/>
    <x v="0"/>
    <x v="0"/>
    <n v="10"/>
    <x v="208"/>
    <n v="401.39800000000002"/>
    <n v="1183.5999999999999"/>
    <x v="208"/>
  </r>
  <r>
    <n v="69"/>
    <x v="157"/>
    <x v="8"/>
    <x v="0"/>
    <x v="0"/>
    <x v="3"/>
    <n v="9"/>
    <x v="209"/>
    <n v="450.75200000000001"/>
    <n v="1061.3699999999999"/>
    <x v="209"/>
  </r>
  <r>
    <n v="120"/>
    <x v="158"/>
    <x v="11"/>
    <x v="4"/>
    <x v="0"/>
    <x v="2"/>
    <n v="10"/>
    <x v="210"/>
    <n v="244.40600000000001"/>
    <n v="1178.46"/>
    <x v="210"/>
  </r>
  <r>
    <n v="299"/>
    <x v="25"/>
    <x v="10"/>
    <x v="3"/>
    <x v="2"/>
    <x v="5"/>
    <n v="5"/>
    <x v="211"/>
    <n v="210.66"/>
    <n v="587.55999999999995"/>
    <x v="211"/>
  </r>
  <r>
    <n v="156"/>
    <x v="77"/>
    <x v="6"/>
    <x v="0"/>
    <x v="3"/>
    <x v="5"/>
    <n v="9"/>
    <x v="212"/>
    <n v="212.25"/>
    <n v="1052.0999999999999"/>
    <x v="212"/>
  </r>
  <r>
    <n v="82"/>
    <x v="159"/>
    <x v="3"/>
    <x v="2"/>
    <x v="3"/>
    <x v="5"/>
    <n v="8"/>
    <x v="213"/>
    <n v="249.92"/>
    <n v="932.70399999999995"/>
    <x v="213"/>
  </r>
  <r>
    <n v="272"/>
    <x v="160"/>
    <x v="11"/>
    <x v="3"/>
    <x v="3"/>
    <x v="3"/>
    <n v="4"/>
    <x v="214"/>
    <n v="150.608"/>
    <n v="466.08"/>
    <x v="214"/>
  </r>
  <r>
    <n v="267"/>
    <x v="161"/>
    <x v="4"/>
    <x v="2"/>
    <x v="3"/>
    <x v="5"/>
    <n v="8"/>
    <x v="215"/>
    <n v="181.684"/>
    <n v="916.08"/>
    <x v="215"/>
  </r>
  <r>
    <n v="284"/>
    <x v="162"/>
    <x v="7"/>
    <x v="4"/>
    <x v="3"/>
    <x v="2"/>
    <n v="4"/>
    <x v="216"/>
    <n v="396.82799999999997"/>
    <n v="455.67200000000003"/>
    <x v="216"/>
  </r>
  <r>
    <n v="185"/>
    <x v="15"/>
    <x v="4"/>
    <x v="2"/>
    <x v="3"/>
    <x v="3"/>
    <n v="10"/>
    <x v="217"/>
    <n v="419.97199999999998"/>
    <n v="1138.3"/>
    <x v="217"/>
  </r>
  <r>
    <n v="211"/>
    <x v="53"/>
    <x v="8"/>
    <x v="2"/>
    <x v="1"/>
    <x v="9"/>
    <n v="4"/>
    <x v="218"/>
    <n v="289.01400000000001"/>
    <n v="444.77600000000001"/>
    <x v="218"/>
  </r>
  <r>
    <n v="209"/>
    <x v="58"/>
    <x v="11"/>
    <x v="4"/>
    <x v="0"/>
    <x v="3"/>
    <n v="1"/>
    <x v="219"/>
    <n v="148.07599999999999"/>
    <n v="108.462"/>
    <x v="219"/>
  </r>
  <r>
    <n v="294"/>
    <x v="163"/>
    <x v="11"/>
    <x v="2"/>
    <x v="0"/>
    <x v="7"/>
    <n v="7"/>
    <x v="220"/>
    <n v="345.54399999999998"/>
    <n v="757.93200000000002"/>
    <x v="220"/>
  </r>
  <r>
    <n v="196"/>
    <x v="156"/>
    <x v="13"/>
    <x v="4"/>
    <x v="0"/>
    <x v="0"/>
    <n v="3"/>
    <x v="221"/>
    <n v="152.41200000000001"/>
    <n v="321.036"/>
    <x v="221"/>
  </r>
  <r>
    <n v="146"/>
    <x v="78"/>
    <x v="8"/>
    <x v="3"/>
    <x v="1"/>
    <x v="7"/>
    <n v="3"/>
    <x v="222"/>
    <n v="313.84399999999999"/>
    <n v="315.52199999999999"/>
    <x v="222"/>
  </r>
  <r>
    <n v="244"/>
    <x v="117"/>
    <x v="13"/>
    <x v="3"/>
    <x v="4"/>
    <x v="7"/>
    <n v="1"/>
    <x v="223"/>
    <n v="141.23400000000001"/>
    <n v="103.276"/>
    <x v="223"/>
  </r>
  <r>
    <n v="114"/>
    <x v="164"/>
    <x v="6"/>
    <x v="4"/>
    <x v="4"/>
    <x v="9"/>
    <n v="3"/>
    <x v="224"/>
    <n v="244.256"/>
    <n v="303.39"/>
    <x v="224"/>
  </r>
  <r>
    <n v="218"/>
    <x v="165"/>
    <x v="13"/>
    <x v="4"/>
    <x v="2"/>
    <x v="6"/>
    <n v="10"/>
    <x v="225"/>
    <n v="245.08799999999999"/>
    <n v="990.68"/>
    <x v="225"/>
  </r>
  <r>
    <n v="45"/>
    <x v="151"/>
    <x v="12"/>
    <x v="4"/>
    <x v="4"/>
    <x v="6"/>
    <n v="9"/>
    <x v="226"/>
    <n v="135.98599999999999"/>
    <n v="886.68"/>
    <x v="226"/>
  </r>
  <r>
    <n v="291"/>
    <x v="111"/>
    <x v="5"/>
    <x v="2"/>
    <x v="2"/>
    <x v="2"/>
    <n v="8"/>
    <x v="227"/>
    <n v="130.97399999999999"/>
    <n v="773.76"/>
    <x v="227"/>
  </r>
  <r>
    <n v="143"/>
    <x v="166"/>
    <x v="3"/>
    <x v="1"/>
    <x v="1"/>
    <x v="4"/>
    <n v="8"/>
    <x v="228"/>
    <n v="183.566"/>
    <n v="771.42399999999998"/>
    <x v="228"/>
  </r>
  <r>
    <n v="91"/>
    <x v="167"/>
    <x v="8"/>
    <x v="4"/>
    <x v="1"/>
    <x v="0"/>
    <n v="5"/>
    <x v="229"/>
    <n v="96.28"/>
    <n v="473.96"/>
    <x v="229"/>
  </r>
  <r>
    <n v="173"/>
    <x v="168"/>
    <x v="7"/>
    <x v="1"/>
    <x v="3"/>
    <x v="6"/>
    <n v="7"/>
    <x v="230"/>
    <n v="210.58799999999999"/>
    <n v="642.62800000000004"/>
    <x v="230"/>
  </r>
  <r>
    <n v="4"/>
    <x v="82"/>
    <x v="4"/>
    <x v="1"/>
    <x v="3"/>
    <x v="7"/>
    <n v="7"/>
    <x v="231"/>
    <n v="289.36200000000002"/>
    <n v="629.38400000000001"/>
    <x v="231"/>
  </r>
  <r>
    <n v="200"/>
    <x v="169"/>
    <x v="3"/>
    <x v="4"/>
    <x v="1"/>
    <x v="8"/>
    <n v="9"/>
    <x v="232"/>
    <n v="312.34800000000001"/>
    <n v="803.25"/>
    <x v="232"/>
  </r>
  <r>
    <n v="96"/>
    <x v="71"/>
    <x v="13"/>
    <x v="4"/>
    <x v="0"/>
    <x v="0"/>
    <n v="5"/>
    <x v="233"/>
    <n v="96.22"/>
    <n v="442.88"/>
    <x v="233"/>
  </r>
  <r>
    <n v="168"/>
    <x v="170"/>
    <x v="9"/>
    <x v="1"/>
    <x v="1"/>
    <x v="1"/>
    <n v="9"/>
    <x v="234"/>
    <n v="132.93199999999999"/>
    <n v="794.86199999999997"/>
    <x v="234"/>
  </r>
  <r>
    <n v="287"/>
    <x v="171"/>
    <x v="3"/>
    <x v="1"/>
    <x v="2"/>
    <x v="2"/>
    <n v="3"/>
    <x v="235"/>
    <n v="89.927999999999997"/>
    <n v="256.36799999999999"/>
    <x v="235"/>
  </r>
  <r>
    <n v="110"/>
    <x v="54"/>
    <x v="13"/>
    <x v="2"/>
    <x v="2"/>
    <x v="5"/>
    <n v="5"/>
    <x v="236"/>
    <n v="107.07599999999999"/>
    <n v="423.36"/>
    <x v="236"/>
  </r>
  <r>
    <n v="184"/>
    <x v="172"/>
    <x v="10"/>
    <x v="0"/>
    <x v="1"/>
    <x v="2"/>
    <n v="2"/>
    <x v="237"/>
    <n v="141.97399999999999"/>
    <n v="169.148"/>
    <x v="237"/>
  </r>
  <r>
    <n v="149"/>
    <x v="53"/>
    <x v="6"/>
    <x v="0"/>
    <x v="4"/>
    <x v="2"/>
    <n v="2"/>
    <x v="238"/>
    <n v="299.80799999999999"/>
    <n v="168.20400000000001"/>
    <x v="238"/>
  </r>
  <r>
    <n v="21"/>
    <x v="173"/>
    <x v="11"/>
    <x v="4"/>
    <x v="4"/>
    <x v="7"/>
    <n v="4"/>
    <x v="239"/>
    <n v="289.738"/>
    <n v="331.93599999999998"/>
    <x v="239"/>
  </r>
  <r>
    <n v="271"/>
    <x v="174"/>
    <x v="13"/>
    <x v="3"/>
    <x v="4"/>
    <x v="8"/>
    <n v="6"/>
    <x v="240"/>
    <n v="234.25399999999999"/>
    <n v="480.48"/>
    <x v="240"/>
  </r>
  <r>
    <n v="139"/>
    <x v="155"/>
    <x v="2"/>
    <x v="3"/>
    <x v="4"/>
    <x v="5"/>
    <n v="10"/>
    <x v="241"/>
    <n v="200.11"/>
    <n v="789"/>
    <x v="241"/>
  </r>
  <r>
    <n v="154"/>
    <x v="175"/>
    <x v="7"/>
    <x v="1"/>
    <x v="1"/>
    <x v="7"/>
    <n v="2"/>
    <x v="242"/>
    <n v="145.11799999999999"/>
    <n v="157.32"/>
    <x v="242"/>
  </r>
  <r>
    <n v="7"/>
    <x v="176"/>
    <x v="0"/>
    <x v="4"/>
    <x v="0"/>
    <x v="1"/>
    <n v="4"/>
    <x v="243"/>
    <n v="199.18799999999999"/>
    <n v="303.30399999999997"/>
    <x v="243"/>
  </r>
  <r>
    <n v="117"/>
    <x v="177"/>
    <x v="5"/>
    <x v="3"/>
    <x v="0"/>
    <x v="8"/>
    <n v="8"/>
    <x v="244"/>
    <n v="180.40600000000001"/>
    <n v="601.952"/>
    <x v="244"/>
  </r>
  <r>
    <n v="174"/>
    <x v="178"/>
    <x v="9"/>
    <x v="2"/>
    <x v="1"/>
    <x v="1"/>
    <n v="8"/>
    <x v="245"/>
    <n v="97.596000000000004"/>
    <n v="595.77599999999995"/>
    <x v="245"/>
  </r>
  <r>
    <n v="240"/>
    <x v="179"/>
    <x v="0"/>
    <x v="3"/>
    <x v="1"/>
    <x v="5"/>
    <n v="5"/>
    <x v="246"/>
    <n v="82.293999999999997"/>
    <n v="364.87"/>
    <x v="246"/>
  </r>
  <r>
    <n v="262"/>
    <x v="180"/>
    <x v="4"/>
    <x v="1"/>
    <x v="1"/>
    <x v="3"/>
    <n v="3"/>
    <x v="247"/>
    <n v="81.626000000000005"/>
    <n v="218.69399999999999"/>
    <x v="247"/>
  </r>
  <r>
    <n v="17"/>
    <x v="181"/>
    <x v="12"/>
    <x v="0"/>
    <x v="3"/>
    <x v="4"/>
    <n v="10"/>
    <x v="248"/>
    <n v="153.774"/>
    <n v="728.42"/>
    <x v="248"/>
  </r>
  <r>
    <n v="220"/>
    <x v="21"/>
    <x v="5"/>
    <x v="3"/>
    <x v="4"/>
    <x v="7"/>
    <n v="4"/>
    <x v="249"/>
    <n v="129.51400000000001"/>
    <n v="286.36799999999999"/>
    <x v="249"/>
  </r>
  <r>
    <n v="246"/>
    <x v="78"/>
    <x v="13"/>
    <x v="0"/>
    <x v="4"/>
    <x v="8"/>
    <n v="7"/>
    <x v="250"/>
    <n v="167.06"/>
    <n v="492.40800000000002"/>
    <x v="250"/>
  </r>
  <r>
    <n v="86"/>
    <x v="75"/>
    <x v="9"/>
    <x v="4"/>
    <x v="3"/>
    <x v="6"/>
    <n v="8"/>
    <x v="251"/>
    <n v="158.28200000000001"/>
    <n v="559.45600000000002"/>
    <x v="251"/>
  </r>
  <r>
    <n v="289"/>
    <x v="182"/>
    <x v="1"/>
    <x v="1"/>
    <x v="1"/>
    <x v="9"/>
    <n v="3"/>
    <x v="252"/>
    <n v="98.867999999999995"/>
    <n v="209.352"/>
    <x v="252"/>
  </r>
  <r>
    <n v="145"/>
    <x v="183"/>
    <x v="1"/>
    <x v="4"/>
    <x v="1"/>
    <x v="5"/>
    <n v="9"/>
    <x v="253"/>
    <n v="123.366"/>
    <n v="608.79600000000005"/>
    <x v="253"/>
  </r>
  <r>
    <n v="6"/>
    <x v="184"/>
    <x v="10"/>
    <x v="4"/>
    <x v="2"/>
    <x v="3"/>
    <n v="10"/>
    <x v="254"/>
    <n v="153.03800000000001"/>
    <n v="638.58000000000004"/>
    <x v="254"/>
  </r>
  <r>
    <n v="66"/>
    <x v="171"/>
    <x v="11"/>
    <x v="2"/>
    <x v="3"/>
    <x v="4"/>
    <n v="9"/>
    <x v="255"/>
    <n v="251.71799999999999"/>
    <n v="570.16800000000001"/>
    <x v="255"/>
  </r>
  <r>
    <n v="41"/>
    <x v="148"/>
    <x v="6"/>
    <x v="0"/>
    <x v="1"/>
    <x v="4"/>
    <n v="3"/>
    <x v="256"/>
    <n v="182.88399999999999"/>
    <n v="189.648"/>
    <x v="256"/>
  </r>
  <r>
    <n v="51"/>
    <x v="27"/>
    <x v="11"/>
    <x v="4"/>
    <x v="2"/>
    <x v="1"/>
    <n v="3"/>
    <x v="257"/>
    <n v="191.428"/>
    <n v="181.35"/>
    <x v="257"/>
  </r>
  <r>
    <n v="258"/>
    <x v="185"/>
    <x v="9"/>
    <x v="3"/>
    <x v="4"/>
    <x v="0"/>
    <n v="5"/>
    <x v="258"/>
    <n v="139.08799999999999"/>
    <n v="270.68"/>
    <x v="258"/>
  </r>
  <r>
    <n v="39"/>
    <x v="96"/>
    <x v="4"/>
    <x v="4"/>
    <x v="1"/>
    <x v="0"/>
    <n v="10"/>
    <x v="259"/>
    <n v="209.21"/>
    <n v="526.04"/>
    <x v="259"/>
  </r>
  <r>
    <n v="229"/>
    <x v="42"/>
    <x v="2"/>
    <x v="1"/>
    <x v="3"/>
    <x v="8"/>
    <n v="7"/>
    <x v="260"/>
    <n v="84.841999999999999"/>
    <n v="356.77600000000001"/>
    <x v="260"/>
  </r>
  <r>
    <n v="279"/>
    <x v="166"/>
    <x v="10"/>
    <x v="0"/>
    <x v="0"/>
    <x v="5"/>
    <n v="5"/>
    <x v="261"/>
    <n v="78.052000000000007"/>
    <n v="252.99"/>
    <x v="261"/>
  </r>
  <r>
    <n v="54"/>
    <x v="186"/>
    <x v="4"/>
    <x v="2"/>
    <x v="4"/>
    <x v="0"/>
    <n v="1"/>
    <x v="262"/>
    <n v="126.358"/>
    <n v="49.514000000000003"/>
    <x v="262"/>
  </r>
  <r>
    <n v="261"/>
    <x v="187"/>
    <x v="2"/>
    <x v="1"/>
    <x v="0"/>
    <x v="0"/>
    <n v="3"/>
    <x v="263"/>
    <n v="80.251999999999995"/>
    <n v="140.44200000000001"/>
    <x v="263"/>
  </r>
  <r>
    <n v="135"/>
    <x v="188"/>
    <x v="0"/>
    <x v="3"/>
    <x v="1"/>
    <x v="1"/>
    <n v="8"/>
    <x v="264"/>
    <n v="105.524"/>
    <n v="368.03199999999998"/>
    <x v="264"/>
  </r>
  <r>
    <n v="78"/>
    <x v="27"/>
    <x v="10"/>
    <x v="1"/>
    <x v="2"/>
    <x v="5"/>
    <n v="1"/>
    <x v="265"/>
    <n v="155.934"/>
    <n v="43.2"/>
    <x v="265"/>
  </r>
  <r>
    <n v="155"/>
    <x v="189"/>
    <x v="2"/>
    <x v="4"/>
    <x v="4"/>
    <x v="1"/>
    <n v="1"/>
    <x v="266"/>
    <n v="149.732"/>
    <n v="43.073999999999998"/>
    <x v="266"/>
  </r>
  <r>
    <n v="208"/>
    <x v="8"/>
    <x v="6"/>
    <x v="3"/>
    <x v="3"/>
    <x v="3"/>
    <n v="4"/>
    <x v="267"/>
    <n v="150.68600000000001"/>
    <n v="163.4"/>
    <x v="267"/>
  </r>
  <r>
    <n v="252"/>
    <x v="190"/>
    <x v="8"/>
    <x v="4"/>
    <x v="0"/>
    <x v="1"/>
    <n v="7"/>
    <x v="268"/>
    <n v="84.391999999999996"/>
    <n v="280.714"/>
    <x v="268"/>
  </r>
  <r>
    <n v="164"/>
    <x v="191"/>
    <x v="5"/>
    <x v="3"/>
    <x v="3"/>
    <x v="1"/>
    <n v="10"/>
    <x v="269"/>
    <n v="98.055999999999997"/>
    <n v="390.16"/>
    <x v="269"/>
  </r>
  <r>
    <n v="237"/>
    <x v="22"/>
    <x v="7"/>
    <x v="1"/>
    <x v="1"/>
    <x v="9"/>
    <n v="4"/>
    <x v="270"/>
    <n v="43.613999999999997"/>
    <n v="142.71199999999999"/>
    <x v="270"/>
  </r>
  <r>
    <n v="235"/>
    <x v="51"/>
    <x v="12"/>
    <x v="1"/>
    <x v="0"/>
    <x v="9"/>
    <n v="10"/>
    <x v="271"/>
    <n v="138.16"/>
    <n v="350.9"/>
    <x v="271"/>
  </r>
  <r>
    <n v="222"/>
    <x v="48"/>
    <x v="1"/>
    <x v="0"/>
    <x v="1"/>
    <x v="6"/>
    <n v="1"/>
    <x v="272"/>
    <n v="52.408000000000001"/>
    <n v="31.846"/>
    <x v="272"/>
  </r>
  <r>
    <n v="2"/>
    <x v="192"/>
    <x v="12"/>
    <x v="4"/>
    <x v="2"/>
    <x v="0"/>
    <n v="3"/>
    <x v="273"/>
    <n v="71.268000000000001"/>
    <n v="93.126000000000005"/>
    <x v="273"/>
  </r>
  <r>
    <n v="179"/>
    <x v="193"/>
    <x v="5"/>
    <x v="3"/>
    <x v="3"/>
    <x v="7"/>
    <n v="3"/>
    <x v="274"/>
    <n v="118.104"/>
    <n v="89.688000000000002"/>
    <x v="274"/>
  </r>
  <r>
    <n v="281"/>
    <x v="182"/>
    <x v="8"/>
    <x v="3"/>
    <x v="4"/>
    <x v="5"/>
    <n v="1"/>
    <x v="275"/>
    <n v="105.386"/>
    <n v="29.832000000000001"/>
    <x v="275"/>
  </r>
  <r>
    <n v="71"/>
    <x v="121"/>
    <x v="9"/>
    <x v="4"/>
    <x v="0"/>
    <x v="6"/>
    <n v="5"/>
    <x v="276"/>
    <n v="98.042000000000002"/>
    <n v="147.69"/>
    <x v="276"/>
  </r>
  <r>
    <n v="170"/>
    <x v="38"/>
    <x v="8"/>
    <x v="4"/>
    <x v="2"/>
    <x v="3"/>
    <n v="10"/>
    <x v="277"/>
    <n v="106.816"/>
    <n v="288.36"/>
    <x v="277"/>
  </r>
  <r>
    <n v="92"/>
    <x v="50"/>
    <x v="8"/>
    <x v="4"/>
    <x v="0"/>
    <x v="5"/>
    <n v="8"/>
    <x v="278"/>
    <n v="109.322"/>
    <n v="228.48"/>
    <x v="278"/>
  </r>
  <r>
    <n v="256"/>
    <x v="37"/>
    <x v="6"/>
    <x v="2"/>
    <x v="2"/>
    <x v="6"/>
    <n v="7"/>
    <x v="279"/>
    <n v="86.492000000000004"/>
    <n v="198.71600000000001"/>
    <x v="279"/>
  </r>
  <r>
    <n v="175"/>
    <x v="194"/>
    <x v="4"/>
    <x v="3"/>
    <x v="4"/>
    <x v="6"/>
    <n v="3"/>
    <x v="280"/>
    <n v="59.128"/>
    <n v="78.215999999999994"/>
    <x v="280"/>
  </r>
  <r>
    <n v="137"/>
    <x v="173"/>
    <x v="8"/>
    <x v="4"/>
    <x v="4"/>
    <x v="3"/>
    <n v="6"/>
    <x v="281"/>
    <n v="76.861999999999995"/>
    <n v="154.38"/>
    <x v="281"/>
  </r>
  <r>
    <n v="115"/>
    <x v="195"/>
    <x v="13"/>
    <x v="0"/>
    <x v="2"/>
    <x v="4"/>
    <n v="9"/>
    <x v="282"/>
    <n v="90.215999999999994"/>
    <n v="229.28399999999999"/>
    <x v="282"/>
  </r>
  <r>
    <n v="34"/>
    <x v="196"/>
    <x v="0"/>
    <x v="0"/>
    <x v="1"/>
    <x v="2"/>
    <n v="3"/>
    <x v="283"/>
    <n v="34.218000000000004"/>
    <n v="75.575999999999993"/>
    <x v="283"/>
  </r>
  <r>
    <n v="76"/>
    <x v="197"/>
    <x v="2"/>
    <x v="0"/>
    <x v="0"/>
    <x v="5"/>
    <n v="9"/>
    <x v="284"/>
    <n v="25.324000000000002"/>
    <n v="217.89"/>
    <x v="284"/>
  </r>
  <r>
    <n v="104"/>
    <x v="6"/>
    <x v="8"/>
    <x v="3"/>
    <x v="0"/>
    <x v="6"/>
    <n v="1"/>
    <x v="285"/>
    <n v="26.658000000000001"/>
    <n v="23.584"/>
    <x v="285"/>
  </r>
  <r>
    <n v="33"/>
    <x v="82"/>
    <x v="10"/>
    <x v="1"/>
    <x v="0"/>
    <x v="2"/>
    <n v="1"/>
    <x v="286"/>
    <n v="29.341999999999999"/>
    <n v="22.968"/>
    <x v="286"/>
  </r>
  <r>
    <n v="204"/>
    <x v="169"/>
    <x v="6"/>
    <x v="2"/>
    <x v="1"/>
    <x v="4"/>
    <n v="10"/>
    <x v="287"/>
    <n v="47.341999999999999"/>
    <n v="212.88"/>
    <x v="287"/>
  </r>
  <r>
    <n v="12"/>
    <x v="171"/>
    <x v="11"/>
    <x v="3"/>
    <x v="4"/>
    <x v="4"/>
    <n v="4"/>
    <x v="288"/>
    <n v="26.888000000000002"/>
    <n v="84.152000000000001"/>
    <x v="288"/>
  </r>
  <r>
    <n v="249"/>
    <x v="148"/>
    <x v="4"/>
    <x v="4"/>
    <x v="3"/>
    <x v="0"/>
    <n v="3"/>
    <x v="289"/>
    <n v="23.946000000000002"/>
    <n v="60.281999999999996"/>
    <x v="289"/>
  </r>
  <r>
    <n v="230"/>
    <x v="198"/>
    <x v="4"/>
    <x v="1"/>
    <x v="4"/>
    <x v="1"/>
    <n v="9"/>
    <x v="290"/>
    <n v="50.694000000000003"/>
    <n v="170.67599999999999"/>
    <x v="290"/>
  </r>
  <r>
    <n v="263"/>
    <x v="174"/>
    <x v="13"/>
    <x v="0"/>
    <x v="0"/>
    <x v="7"/>
    <n v="6"/>
    <x v="291"/>
    <n v="46.936"/>
    <n v="108.384"/>
    <x v="291"/>
  </r>
  <r>
    <n v="161"/>
    <x v="128"/>
    <x v="12"/>
    <x v="4"/>
    <x v="1"/>
    <x v="0"/>
    <n v="10"/>
    <x v="292"/>
    <n v="67.867999999999995"/>
    <n v="173.52"/>
    <x v="292"/>
  </r>
  <r>
    <n v="148"/>
    <x v="194"/>
    <x v="7"/>
    <x v="0"/>
    <x v="2"/>
    <x v="1"/>
    <n v="10"/>
    <x v="293"/>
    <n v="20.806000000000001"/>
    <n v="160.4"/>
    <x v="293"/>
  </r>
  <r>
    <n v="147"/>
    <x v="44"/>
    <x v="6"/>
    <x v="0"/>
    <x v="1"/>
    <x v="4"/>
    <n v="7"/>
    <x v="294"/>
    <n v="50.292000000000002"/>
    <n v="110.25"/>
    <x v="294"/>
  </r>
  <r>
    <n v="134"/>
    <x v="199"/>
    <x v="13"/>
    <x v="2"/>
    <x v="4"/>
    <x v="1"/>
    <n v="4"/>
    <x v="295"/>
    <n v="55.795999999999999"/>
    <n v="56.295999999999999"/>
    <x v="295"/>
  </r>
  <r>
    <n v="100"/>
    <x v="87"/>
    <x v="12"/>
    <x v="4"/>
    <x v="2"/>
    <x v="7"/>
    <n v="6"/>
    <x v="296"/>
    <n v="22.064"/>
    <n v="82.043999999999997"/>
    <x v="296"/>
  </r>
  <r>
    <n v="88"/>
    <x v="200"/>
    <x v="11"/>
    <x v="4"/>
    <x v="1"/>
    <x v="1"/>
    <n v="5"/>
    <x v="297"/>
    <n v="33.031999999999996"/>
    <n v="58.92"/>
    <x v="297"/>
  </r>
  <r>
    <n v="43"/>
    <x v="201"/>
    <x v="5"/>
    <x v="3"/>
    <x v="0"/>
    <x v="8"/>
    <n v="6"/>
    <x v="298"/>
    <n v="24.448"/>
    <n v="62.723999999999997"/>
    <x v="298"/>
  </r>
  <r>
    <n v="58"/>
    <x v="70"/>
    <x v="13"/>
    <x v="0"/>
    <x v="2"/>
    <x v="1"/>
    <n v="1"/>
    <x v="299"/>
    <n v="27.738"/>
    <n v="9.484"/>
    <x v="299"/>
  </r>
  <r>
    <m/>
    <x v="202"/>
    <x v="14"/>
    <x v="5"/>
    <x v="5"/>
    <x v="10"/>
    <m/>
    <x v="300"/>
    <m/>
    <m/>
    <x v="3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90"/>
    <d v="2025-08-03T00:00:00"/>
    <s v="Impressora F"/>
    <x v="0"/>
    <s v="Norte"/>
    <s v="Maria Isis Azevedo"/>
    <n v="8"/>
    <n v="986.31200000000001"/>
    <n v="506.10399999999998"/>
    <n v="3841.6640000000002"/>
    <n v="7890.4960000000001"/>
  </r>
  <r>
    <n v="144"/>
    <d v="2025-01-10T00:00:00"/>
    <s v="Roteador G"/>
    <x v="1"/>
    <s v="Centro-Oeste"/>
    <s v="Bento Mendes"/>
    <n v="2"/>
    <n v="970.78200000000004"/>
    <n v="491.21199999999999"/>
    <n v="959.14"/>
    <n v="1941.5640000000001"/>
  </r>
  <r>
    <n v="29"/>
    <d v="2025-02-04T00:00:00"/>
    <s v="Webcam D"/>
    <x v="2"/>
    <s v="Sul"/>
    <s v="Agatha Leão"/>
    <n v="3"/>
    <n v="993.80799999999999"/>
    <n v="534.51"/>
    <n v="1377.894"/>
    <n v="2981.424"/>
  </r>
  <r>
    <n v="81"/>
    <d v="2025-08-11T00:00:00"/>
    <s v="Placa de Vídeo J"/>
    <x v="0"/>
    <s v="Nordeste"/>
    <s v="Yasmin Souza"/>
    <n v="1"/>
    <n v="943.01199999999994"/>
    <n v="488.048"/>
    <n v="454.964"/>
    <n v="943.01199999999994"/>
  </r>
  <r>
    <n v="225"/>
    <d v="2025-08-28T00:00:00"/>
    <s v="Notebook X"/>
    <x v="3"/>
    <s v="Sul"/>
    <s v="Agatha Leão"/>
    <n v="5"/>
    <n v="893.68200000000002"/>
    <n v="448.75400000000002"/>
    <n v="2224.64"/>
    <n v="4468.41"/>
  </r>
  <r>
    <n v="274"/>
    <d v="2025-11-28T00:00:00"/>
    <s v="Fone E"/>
    <x v="4"/>
    <s v="Norte"/>
    <s v="Yago Sales"/>
    <n v="1"/>
    <n v="886.46799999999996"/>
    <n v="445.56200000000001"/>
    <n v="440.90600000000001"/>
    <n v="886.46799999999996"/>
  </r>
  <r>
    <n v="138"/>
    <d v="2024-12-04T00:00:00"/>
    <s v="Notebook X"/>
    <x v="4"/>
    <s v="Norte"/>
    <s v="Agatha Leão"/>
    <n v="4"/>
    <n v="983.64599999999996"/>
    <n v="545.77800000000002"/>
    <n v="1751.472"/>
    <n v="3934.5839999999998"/>
  </r>
  <r>
    <n v="1"/>
    <d v="2025-10-08T00:00:00"/>
    <s v="Mouse C"/>
    <x v="1"/>
    <s v="Nordeste"/>
    <s v="João Pedro Mendes"/>
    <n v="2"/>
    <n v="874.12800000000004"/>
    <n v="438.49"/>
    <n v="871.27599999999995"/>
    <n v="1748.2560000000001"/>
  </r>
  <r>
    <n v="95"/>
    <d v="2025-07-10T00:00:00"/>
    <s v="Placa de Vídeo J"/>
    <x v="0"/>
    <s v="Norte"/>
    <s v="Bento Azevedo"/>
    <n v="3"/>
    <n v="966.04"/>
    <n v="535.50199999999995"/>
    <n v="1291.614"/>
    <n v="2898.12"/>
  </r>
  <r>
    <n v="36"/>
    <d v="2025-08-13T00:00:00"/>
    <s v="Memória I"/>
    <x v="2"/>
    <s v="Nordeste"/>
    <s v="Bento Mendes"/>
    <n v="9"/>
    <n v="921.48199999999997"/>
    <n v="491.08800000000002"/>
    <n v="3873.5459999999998"/>
    <n v="8293.3379999999997"/>
  </r>
  <r>
    <n v="83"/>
    <d v="2025-07-17T00:00:00"/>
    <s v="Tablet Z"/>
    <x v="4"/>
    <s v="Sudeste"/>
    <s v="Maria Isis Azevedo"/>
    <n v="8"/>
    <n v="907.68200000000002"/>
    <n v="483.76400000000001"/>
    <n v="3391.3440000000001"/>
    <n v="7261.4560000000001"/>
  </r>
  <r>
    <n v="38"/>
    <d v="2025-06-18T00:00:00"/>
    <s v="Impressora F"/>
    <x v="3"/>
    <s v="Sudeste"/>
    <s v="Bento Mendes"/>
    <n v="8"/>
    <n v="946.87599999999998"/>
    <n v="527.404"/>
    <n v="3355.7759999999998"/>
    <n v="7575.0079999999998"/>
  </r>
  <r>
    <n v="125"/>
    <d v="2025-08-20T00:00:00"/>
    <s v="Tablet Z"/>
    <x v="2"/>
    <s v="Nordeste"/>
    <s v="Maria Isis Azevedo"/>
    <n v="6"/>
    <n v="980.68399999999997"/>
    <n v="570.96199999999999"/>
    <n v="2458.3319999999999"/>
    <n v="5884.1040000000003"/>
  </r>
  <r>
    <n v="293"/>
    <d v="2025-01-22T00:00:00"/>
    <s v="Placa de Vídeo J"/>
    <x v="0"/>
    <s v="Norte"/>
    <s v="Yago Sales"/>
    <n v="9"/>
    <n v="937.94799999999998"/>
    <n v="529.596"/>
    <n v="3675.1680000000001"/>
    <n v="8441.5319999999992"/>
  </r>
  <r>
    <n v="31"/>
    <d v="2025-09-20T00:00:00"/>
    <s v="Impressora F"/>
    <x v="0"/>
    <s v="Nordeste"/>
    <s v="Yasmin Souza"/>
    <n v="4"/>
    <n v="869.27800000000002"/>
    <n v="463.26600000000002"/>
    <n v="1624.048"/>
    <n v="3477.1120000000001"/>
  </r>
  <r>
    <n v="248"/>
    <d v="2025-02-18T00:00:00"/>
    <s v="Placa de Vídeo J"/>
    <x v="1"/>
    <s v="Nordeste"/>
    <s v="Hadassa Cardoso"/>
    <n v="9"/>
    <n v="826.25"/>
    <n v="421.29599999999999"/>
    <n v="3644.5859999999998"/>
    <n v="7436.25"/>
  </r>
  <r>
    <n v="112"/>
    <d v="2025-02-26T00:00:00"/>
    <s v="Roteador G"/>
    <x v="1"/>
    <s v="Nordeste"/>
    <s v="Bento Mendes"/>
    <n v="10"/>
    <n v="943.66800000000001"/>
    <n v="547.16399999999999"/>
    <n v="3965.04"/>
    <n v="9436.68"/>
  </r>
  <r>
    <n v="257"/>
    <d v="2025-06-29T00:00:00"/>
    <s v="Memória I"/>
    <x v="4"/>
    <s v="Sudeste"/>
    <s v="Bento Azevedo"/>
    <n v="10"/>
    <n v="773.24199999999996"/>
    <n v="387.858"/>
    <n v="3853.84"/>
    <n v="7732.42"/>
  </r>
  <r>
    <n v="187"/>
    <d v="2025-06-28T00:00:00"/>
    <s v="Impressora F"/>
    <x v="1"/>
    <s v="Sudeste"/>
    <s v="Maria Luiza Martins"/>
    <n v="6"/>
    <n v="919.64599999999996"/>
    <n v="539.37"/>
    <n v="2281.6559999999999"/>
    <n v="5517.8760000000002"/>
  </r>
  <r>
    <n v="217"/>
    <d v="2025-01-02T00:00:00"/>
    <s v="SSD H"/>
    <x v="2"/>
    <s v="Norte"/>
    <s v="Maria Luiza Martins"/>
    <n v="8"/>
    <n v="768.53800000000001"/>
    <n v="398.964"/>
    <n v="2956.5920000000001"/>
    <n v="6148.3040000000001"/>
  </r>
  <r>
    <n v="124"/>
    <d v="2025-05-28T00:00:00"/>
    <s v="Tablet Z"/>
    <x v="2"/>
    <s v="Centro-Oeste"/>
    <s v="Hadassa Cardoso"/>
    <n v="8"/>
    <n v="757.36400000000003"/>
    <n v="388.93400000000003"/>
    <n v="2947.44"/>
    <n v="6058.9120000000003"/>
  </r>
  <r>
    <n v="53"/>
    <d v="2025-03-31T00:00:00"/>
    <s v="Memória I"/>
    <x v="1"/>
    <s v="Sudeste"/>
    <s v="Maria Luiza Martins"/>
    <n v="8"/>
    <n v="790.31"/>
    <n v="422.38200000000001"/>
    <n v="2943.424"/>
    <n v="6322.48"/>
  </r>
  <r>
    <n v="286"/>
    <d v="2025-09-13T00:00:00"/>
    <s v="Fone E"/>
    <x v="0"/>
    <s v="Norte"/>
    <s v="João Pedro Mendes"/>
    <n v="10"/>
    <n v="755.1"/>
    <n v="389.928"/>
    <n v="3651.72"/>
    <n v="7551"/>
  </r>
  <r>
    <n v="56"/>
    <d v="2025-03-09T00:00:00"/>
    <s v="Mouse C"/>
    <x v="2"/>
    <s v="Nordeste"/>
    <s v="João Pedro Mendes"/>
    <n v="9"/>
    <n v="946.95"/>
    <n v="583.36"/>
    <n v="3272.31"/>
    <n v="8522.5499999999993"/>
  </r>
  <r>
    <n v="212"/>
    <d v="2025-04-16T00:00:00"/>
    <s v="Tablet Z"/>
    <x v="0"/>
    <s v="Norte"/>
    <s v="Hadassa Cardoso"/>
    <n v="7"/>
    <n v="982.04"/>
    <n v="624.39400000000001"/>
    <n v="2503.5219999999999"/>
    <n v="6874.28"/>
  </r>
  <r>
    <n v="84"/>
    <d v="2025-04-19T00:00:00"/>
    <s v="Roteador G"/>
    <x v="3"/>
    <s v="Nordeste"/>
    <s v="Maria Isis Azevedo"/>
    <n v="7"/>
    <n v="736.35400000000004"/>
    <n v="386.34399999999999"/>
    <n v="2450.0700000000002"/>
    <n v="5154.4780000000001"/>
  </r>
  <r>
    <n v="162"/>
    <d v="2025-11-02T00:00:00"/>
    <s v="SSD H"/>
    <x v="0"/>
    <s v="Nordeste"/>
    <s v="Hadassa Cardoso"/>
    <n v="4"/>
    <n v="946.524"/>
    <n v="608.73199999999997"/>
    <n v="1351.1679999999999"/>
    <n v="3786.096"/>
  </r>
  <r>
    <n v="126"/>
    <d v="2025-09-29T00:00:00"/>
    <s v="Monitor A"/>
    <x v="4"/>
    <s v="Sul"/>
    <s v="Maria Luiza Martins"/>
    <n v="1"/>
    <n v="706.54"/>
    <n v="380.25400000000002"/>
    <n v="326.286"/>
    <n v="706.54"/>
  </r>
  <r>
    <n v="60"/>
    <d v="2025-04-02T00:00:00"/>
    <s v="Smartphone Y"/>
    <x v="1"/>
    <s v="Nordeste"/>
    <s v="Maria Luiza Martins"/>
    <n v="5"/>
    <n v="891.71600000000001"/>
    <n v="567.18200000000002"/>
    <n v="1622.67"/>
    <n v="4458.58"/>
  </r>
  <r>
    <n v="273"/>
    <d v="2025-01-06T00:00:00"/>
    <s v="Processador K"/>
    <x v="0"/>
    <s v="Centro-Oeste"/>
    <s v="Yasmin Souza"/>
    <n v="2"/>
    <n v="698.44799999999998"/>
    <n v="375.69600000000003"/>
    <n v="645.50400000000002"/>
    <n v="1396.896"/>
  </r>
  <r>
    <n v="128"/>
    <d v="2024-12-27T00:00:00"/>
    <s v="Roteador G"/>
    <x v="4"/>
    <s v="Sul"/>
    <s v="Yago Sales"/>
    <n v="9"/>
    <n v="729.57799999999997"/>
    <n v="407.14600000000002"/>
    <n v="2901.8879999999999"/>
    <n v="6566.2020000000002"/>
  </r>
  <r>
    <n v="98"/>
    <d v="2025-06-07T00:00:00"/>
    <s v="Fone E"/>
    <x v="2"/>
    <s v="Norte"/>
    <s v="João Pedro Mendes"/>
    <n v="9"/>
    <n v="855.202"/>
    <n v="536.26199999999994"/>
    <n v="2870.46"/>
    <n v="7696.8180000000002"/>
  </r>
  <r>
    <n v="49"/>
    <d v="2025-04-13T00:00:00"/>
    <s v="Tablet Z"/>
    <x v="0"/>
    <s v="Sudeste"/>
    <s v="Yasmin Souza"/>
    <n v="5"/>
    <n v="734.20399999999995"/>
    <n v="415.524"/>
    <n v="1593.4"/>
    <n v="3671.02"/>
  </r>
  <r>
    <n v="166"/>
    <d v="2025-06-03T00:00:00"/>
    <s v="SSD H"/>
    <x v="1"/>
    <s v="Sul"/>
    <s v="Yago Sales"/>
    <n v="10"/>
    <n v="634.22"/>
    <n v="317.85000000000002"/>
    <n v="3163.7"/>
    <n v="6342.2"/>
  </r>
  <r>
    <n v="52"/>
    <d v="2025-02-25T00:00:00"/>
    <s v="Impressora F"/>
    <x v="4"/>
    <s v="Sul"/>
    <s v="Maria Luiza Martins"/>
    <n v="5"/>
    <n v="678.87199999999996"/>
    <n v="363.28800000000001"/>
    <n v="1577.92"/>
    <n v="3394.36"/>
  </r>
  <r>
    <n v="227"/>
    <d v="2025-09-10T00:00:00"/>
    <s v="Memória I"/>
    <x v="2"/>
    <s v="Sul"/>
    <s v="Maria Isis Azevedo"/>
    <n v="5"/>
    <n v="844.28200000000004"/>
    <n v="529.35"/>
    <n v="1574.66"/>
    <n v="4221.41"/>
  </r>
  <r>
    <n v="259"/>
    <d v="2025-03-10T00:00:00"/>
    <s v="Memória I"/>
    <x v="0"/>
    <s v="Nordeste"/>
    <s v="Hadassa Cardoso"/>
    <n v="3"/>
    <n v="661.46600000000001"/>
    <n v="347.95800000000003"/>
    <n v="940.524"/>
    <n v="1984.3979999999999"/>
  </r>
  <r>
    <n v="269"/>
    <d v="2025-01-31T00:00:00"/>
    <s v="Placa de Vídeo J"/>
    <x v="1"/>
    <s v="Norte"/>
    <s v="Maria Luiza Martins"/>
    <n v="2"/>
    <n v="822.00599999999997"/>
    <n v="508.83600000000001"/>
    <n v="626.34"/>
    <n v="1644.0119999999999"/>
  </r>
  <r>
    <n v="142"/>
    <d v="2025-05-01T00:00:00"/>
    <s v="Teclado B"/>
    <x v="1"/>
    <s v="Centro-Oeste"/>
    <s v="Maria Isis Azevedo"/>
    <n v="9"/>
    <n v="830.25800000000004"/>
    <n v="518.21"/>
    <n v="2808.4319999999998"/>
    <n v="7472.3220000000001"/>
  </r>
  <r>
    <n v="63"/>
    <d v="2025-11-08T00:00:00"/>
    <s v="Roteador G"/>
    <x v="4"/>
    <s v="Sudeste"/>
    <s v="Hadassa Cardoso"/>
    <n v="7"/>
    <n v="638.61599999999999"/>
    <n v="327.21800000000002"/>
    <n v="2179.7860000000001"/>
    <n v="4470.3119999999999"/>
  </r>
  <r>
    <n v="251"/>
    <d v="2025-09-14T00:00:00"/>
    <s v="Smartphone Y"/>
    <x v="1"/>
    <s v="Sul"/>
    <s v="Yasmin Souza"/>
    <n v="2"/>
    <n v="713.79399999999998"/>
    <n v="404.04"/>
    <n v="619.50800000000004"/>
    <n v="1427.588"/>
  </r>
  <r>
    <n v="266"/>
    <d v="2025-09-04T00:00:00"/>
    <s v="Fone E"/>
    <x v="0"/>
    <s v="Centro-Oeste"/>
    <s v="Maria Luiza Martins"/>
    <n v="6"/>
    <n v="769.44200000000001"/>
    <n v="462.03800000000001"/>
    <n v="1844.424"/>
    <n v="4616.652"/>
  </r>
  <r>
    <n v="94"/>
    <d v="2025-02-25T00:00:00"/>
    <s v="Mouse C"/>
    <x v="3"/>
    <s v="Sul"/>
    <s v="Bento Mendes"/>
    <n v="1"/>
    <n v="978.14800000000002"/>
    <n v="671.21400000000006"/>
    <n v="306.93400000000003"/>
    <n v="978.14800000000002"/>
  </r>
  <r>
    <n v="68"/>
    <d v="2025-06-17T00:00:00"/>
    <s v="Placa de Vídeo J"/>
    <x v="0"/>
    <s v="Norte"/>
    <s v="João Pedro Mendes"/>
    <n v="4"/>
    <n v="984.46600000000001"/>
    <n v="679.20600000000002"/>
    <n v="1221.04"/>
    <n v="3937.864"/>
  </r>
  <r>
    <n v="176"/>
    <d v="2025-08-21T00:00:00"/>
    <s v="Placa de Vídeo J"/>
    <x v="4"/>
    <s v="Nordeste"/>
    <s v="Agatha Leão"/>
    <n v="4"/>
    <n v="876.78"/>
    <n v="573.78599999999994"/>
    <n v="1211.9760000000001"/>
    <n v="3507.12"/>
  </r>
  <r>
    <n v="59"/>
    <d v="2025-06-05T00:00:00"/>
    <s v="SSD H"/>
    <x v="1"/>
    <s v="Sudeste"/>
    <s v="Sra. Olívia Pacheco"/>
    <n v="1"/>
    <n v="888.572"/>
    <n v="585.82399999999996"/>
    <n v="302.74799999999999"/>
    <n v="888.572"/>
  </r>
  <r>
    <n v="265"/>
    <d v="2025-03-27T00:00:00"/>
    <s v="Impressora F"/>
    <x v="0"/>
    <s v="Norte"/>
    <s v="Hadassa Cardoso"/>
    <n v="6"/>
    <n v="953.17"/>
    <n v="650.51400000000001"/>
    <n v="1815.9359999999999"/>
    <n v="5719.02"/>
  </r>
  <r>
    <n v="197"/>
    <d v="2025-08-13T00:00:00"/>
    <s v="Placa de Vídeo J"/>
    <x v="2"/>
    <s v="Centro-Oeste"/>
    <s v="Yasmin Souza"/>
    <n v="10"/>
    <n v="776.74199999999996"/>
    <n v="479.01"/>
    <n v="2977.32"/>
    <n v="7767.42"/>
  </r>
  <r>
    <n v="280"/>
    <d v="2025-11-19T00:00:00"/>
    <s v="Notebook X"/>
    <x v="2"/>
    <s v="Sul"/>
    <s v="Bento Mendes"/>
    <n v="4"/>
    <n v="866.87599999999998"/>
    <n v="569.55600000000004"/>
    <n v="1189.28"/>
    <n v="3467.5039999999999"/>
  </r>
  <r>
    <n v="133"/>
    <d v="2025-05-03T00:00:00"/>
    <s v="Fone E"/>
    <x v="0"/>
    <s v="Sudeste"/>
    <s v="Maria Isis Azevedo"/>
    <n v="10"/>
    <n v="692.06200000000001"/>
    <n v="396.1"/>
    <n v="2959.62"/>
    <n v="6920.62"/>
  </r>
  <r>
    <n v="239"/>
    <d v="2025-06-01T00:00:00"/>
    <s v="Tablet Z"/>
    <x v="2"/>
    <s v="Centro-Oeste"/>
    <s v="Agatha Leão"/>
    <n v="5"/>
    <n v="961.73400000000004"/>
    <n v="666.18600000000004"/>
    <n v="1477.74"/>
    <n v="4808.67"/>
  </r>
  <r>
    <n v="275"/>
    <d v="2025-05-13T00:00:00"/>
    <s v="Tablet Z"/>
    <x v="2"/>
    <s v="Norte"/>
    <s v="Yasmin Souza"/>
    <n v="1"/>
    <n v="603.404"/>
    <n v="311.34199999999998"/>
    <n v="292.06200000000001"/>
    <n v="603.404"/>
  </r>
  <r>
    <n v="13"/>
    <d v="2025-06-22T00:00:00"/>
    <s v="Processador K"/>
    <x v="0"/>
    <s v="Sul"/>
    <s v="Yasmin Souza"/>
    <n v="5"/>
    <n v="584.56200000000001"/>
    <n v="292.99599999999998"/>
    <n v="1457.83"/>
    <n v="2922.81"/>
  </r>
  <r>
    <n v="292"/>
    <d v="2025-10-09T00:00:00"/>
    <s v="Webcam D"/>
    <x v="0"/>
    <s v="Centro-Oeste"/>
    <s v="Bento Mendes"/>
    <n v="10"/>
    <n v="824.89400000000001"/>
    <n v="534.72400000000005"/>
    <n v="2901.7"/>
    <n v="8248.94"/>
  </r>
  <r>
    <n v="199"/>
    <d v="2025-09-28T00:00:00"/>
    <s v="Placa de Vídeo J"/>
    <x v="4"/>
    <s v="Norte"/>
    <s v="Hadassa Cardoso"/>
    <n v="3"/>
    <n v="591.71199999999999"/>
    <n v="305.27600000000001"/>
    <n v="859.30799999999999"/>
    <n v="1775.136"/>
  </r>
  <r>
    <n v="183"/>
    <d v="2025-03-22T00:00:00"/>
    <s v="Impressora F"/>
    <x v="3"/>
    <s v="Norte"/>
    <s v="Maria Luiza Martins"/>
    <n v="6"/>
    <n v="964.21799999999996"/>
    <n v="679.01599999999996"/>
    <n v="1711.212"/>
    <n v="5785.308"/>
  </r>
  <r>
    <n v="201"/>
    <d v="2025-03-30T00:00:00"/>
    <s v="Mouse C"/>
    <x v="1"/>
    <s v="Sul"/>
    <s v="Yasmin Souza"/>
    <n v="2"/>
    <n v="836.428"/>
    <n v="552.00400000000002"/>
    <n v="568.84799999999996"/>
    <n v="1672.856"/>
  </r>
  <r>
    <n v="215"/>
    <d v="2025-11-08T00:00:00"/>
    <s v="Roteador G"/>
    <x v="4"/>
    <s v="Centro-Oeste"/>
    <s v="Maria Luiza Martins"/>
    <n v="5"/>
    <n v="578.71799999999996"/>
    <n v="296.56400000000002"/>
    <n v="1410.77"/>
    <n v="2893.59"/>
  </r>
  <r>
    <n v="260"/>
    <d v="2025-02-11T00:00:00"/>
    <s v="Fone E"/>
    <x v="4"/>
    <s v="Nordeste"/>
    <s v="Agatha Leão"/>
    <n v="4"/>
    <n v="820.57399999999996"/>
    <n v="538.80600000000004"/>
    <n v="1127.0719999999999"/>
    <n v="3282.2959999999998"/>
  </r>
  <r>
    <n v="195"/>
    <d v="2025-04-27T00:00:00"/>
    <s v="Tablet Z"/>
    <x v="1"/>
    <s v="Norte"/>
    <s v="Sra. Olívia Pacheco"/>
    <n v="10"/>
    <n v="576.92399999999998"/>
    <n v="297.64999999999998"/>
    <n v="2792.74"/>
    <n v="5769.24"/>
  </r>
  <r>
    <n v="102"/>
    <d v="2025-11-26T00:00:00"/>
    <s v="Processador K"/>
    <x v="3"/>
    <s v="Nordeste"/>
    <s v="Bento Azevedo"/>
    <n v="9"/>
    <n v="621.73800000000006"/>
    <n v="344.09800000000001"/>
    <n v="2498.7600000000002"/>
    <n v="5595.6419999999998"/>
  </r>
  <r>
    <n v="163"/>
    <d v="2025-04-08T00:00:00"/>
    <s v="Teclado B"/>
    <x v="2"/>
    <s v="Nordeste"/>
    <s v="Maria Isis Azevedo"/>
    <n v="9"/>
    <n v="788.85199999999998"/>
    <n v="512.52599999999995"/>
    <n v="2486.9340000000002"/>
    <n v="7099.6679999999997"/>
  </r>
  <r>
    <n v="264"/>
    <d v="2025-03-24T00:00:00"/>
    <s v="Processador K"/>
    <x v="1"/>
    <s v="Sudeste"/>
    <s v="Yasmin Souza"/>
    <n v="10"/>
    <n v="942.21"/>
    <n v="667.28200000000004"/>
    <n v="2749.28"/>
    <n v="9422.1"/>
  </r>
  <r>
    <n v="101"/>
    <d v="2025-06-08T00:00:00"/>
    <s v="Tablet Z"/>
    <x v="3"/>
    <s v="Centro-Oeste"/>
    <s v="Agatha Leão"/>
    <n v="1"/>
    <n v="554.21400000000006"/>
    <n v="280.72000000000003"/>
    <n v="273.49400000000003"/>
    <n v="554.21400000000006"/>
  </r>
  <r>
    <n v="159"/>
    <d v="2025-05-31T00:00:00"/>
    <s v="Tablet Z"/>
    <x v="0"/>
    <s v="Sul"/>
    <s v="Yago Sales"/>
    <n v="3"/>
    <n v="732.30600000000004"/>
    <n v="464.54599999999999"/>
    <n v="803.28"/>
    <n v="2196.9180000000001"/>
  </r>
  <r>
    <n v="37"/>
    <d v="2024-12-23T00:00:00"/>
    <s v="Memória I"/>
    <x v="1"/>
    <s v="Centro-Oeste"/>
    <s v="Yasmin Souza"/>
    <n v="6"/>
    <n v="692.08799999999997"/>
    <n v="424.45800000000003"/>
    <n v="1605.78"/>
    <n v="4152.5280000000002"/>
  </r>
  <r>
    <n v="152"/>
    <d v="2025-02-01T00:00:00"/>
    <s v="Notebook X"/>
    <x v="4"/>
    <s v="Sul"/>
    <s v="Sra. Olívia Pacheco"/>
    <n v="5"/>
    <n v="919.32600000000002"/>
    <n v="653.57399999999996"/>
    <n v="1328.76"/>
    <n v="4596.63"/>
  </r>
  <r>
    <n v="232"/>
    <d v="2025-07-25T00:00:00"/>
    <s v="Memória I"/>
    <x v="1"/>
    <s v="Norte"/>
    <s v="Hadassa Cardoso"/>
    <n v="1"/>
    <n v="898.72199999999998"/>
    <n v="634.75"/>
    <n v="263.97199999999998"/>
    <n v="898.72199999999998"/>
  </r>
  <r>
    <n v="216"/>
    <d v="2025-01-22T00:00:00"/>
    <s v="Roteador G"/>
    <x v="1"/>
    <s v="Nordeste"/>
    <s v="Maria Luiza Martins"/>
    <n v="2"/>
    <n v="624.41200000000003"/>
    <n v="360.59"/>
    <n v="527.64400000000001"/>
    <n v="1248.8240000000001"/>
  </r>
  <r>
    <n v="210"/>
    <d v="2025-12-02T00:00:00"/>
    <s v="Notebook X"/>
    <x v="4"/>
    <s v="Centro-Oeste"/>
    <s v="João Pedro Mendes"/>
    <n v="3"/>
    <n v="746.54200000000003"/>
    <n v="483.04399999999998"/>
    <n v="790.49400000000003"/>
    <n v="2239.6260000000002"/>
  </r>
  <r>
    <n v="136"/>
    <d v="2025-10-14T00:00:00"/>
    <s v="SSD H"/>
    <x v="4"/>
    <s v="Norte"/>
    <s v="Bento Azevedo"/>
    <n v="8"/>
    <n v="549.4"/>
    <n v="289.60000000000002"/>
    <n v="2078.4"/>
    <n v="4395.2"/>
  </r>
  <r>
    <n v="157"/>
    <d v="2025-02-15T00:00:00"/>
    <s v="Notebook X"/>
    <x v="2"/>
    <s v="Sudeste"/>
    <s v="João Pedro Mendes"/>
    <n v="8"/>
    <n v="903.98400000000004"/>
    <n v="645.09400000000005"/>
    <n v="2071.12"/>
    <n v="7231.8720000000003"/>
  </r>
  <r>
    <n v="150"/>
    <d v="2025-04-28T00:00:00"/>
    <s v="Webcam D"/>
    <x v="2"/>
    <s v="Sudeste"/>
    <s v="João Pedro Mendes"/>
    <n v="4"/>
    <n v="807.65599999999995"/>
    <n v="549.03599999999994"/>
    <n v="1034.48"/>
    <n v="3230.6239999999998"/>
  </r>
  <r>
    <n v="231"/>
    <d v="2025-06-22T00:00:00"/>
    <s v="Smartphone Y"/>
    <x v="1"/>
    <s v="Sudeste"/>
    <s v="Hadassa Cardoso"/>
    <n v="9"/>
    <n v="618.548"/>
    <n v="362.75400000000002"/>
    <n v="2302.1460000000002"/>
    <n v="5566.9319999999998"/>
  </r>
  <r>
    <n v="130"/>
    <d v="2025-02-19T00:00:00"/>
    <s v="Teclado B"/>
    <x v="2"/>
    <s v="Sul"/>
    <s v="Hadassa Cardoso"/>
    <n v="10"/>
    <n v="522.38"/>
    <n v="267.79199999999997"/>
    <n v="2545.88"/>
    <n v="5223.8"/>
  </r>
  <r>
    <n v="111"/>
    <d v="2025-11-19T00:00:00"/>
    <s v="Mouse C"/>
    <x v="2"/>
    <s v="Sudeste"/>
    <s v="Bento Azevedo"/>
    <n v="7"/>
    <n v="596.30999999999995"/>
    <n v="342.78399999999999"/>
    <n v="1774.682"/>
    <n v="4174.17"/>
  </r>
  <r>
    <n v="202"/>
    <d v="2025-11-27T00:00:00"/>
    <s v="Memória I"/>
    <x v="3"/>
    <s v="Nordeste"/>
    <s v="Maria Isis Azevedo"/>
    <n v="10"/>
    <n v="730.49400000000003"/>
    <n v="478.36599999999999"/>
    <n v="2521.2800000000002"/>
    <n v="7304.94"/>
  </r>
  <r>
    <n v="194"/>
    <d v="2025-08-29T00:00:00"/>
    <s v="Roteador G"/>
    <x v="2"/>
    <s v="Nordeste"/>
    <s v="Sra. Olívia Pacheco"/>
    <n v="8"/>
    <n v="603.93200000000002"/>
    <n v="352.80399999999997"/>
    <n v="2009.0239999999999"/>
    <n v="4831.4560000000001"/>
  </r>
  <r>
    <n v="75"/>
    <d v="2025-03-24T00:00:00"/>
    <s v="Mouse C"/>
    <x v="2"/>
    <s v="Sul"/>
    <s v="Maria Luiza Martins"/>
    <n v="3"/>
    <n v="561.37800000000004"/>
    <n v="311.73399999999998"/>
    <n v="748.93200000000002"/>
    <n v="1684.134"/>
  </r>
  <r>
    <n v="9"/>
    <d v="2025-03-22T00:00:00"/>
    <s v="Fone E"/>
    <x v="0"/>
    <s v="Centro-Oeste"/>
    <s v="Yasmin Souza"/>
    <n v="7"/>
    <n v="711.11"/>
    <n v="461.77800000000002"/>
    <n v="1745.3240000000001"/>
    <n v="4977.7700000000004"/>
  </r>
  <r>
    <n v="241"/>
    <d v="2025-08-17T00:00:00"/>
    <s v="Fone E"/>
    <x v="2"/>
    <s v="Norte"/>
    <s v="Maria Isis Azevedo"/>
    <n v="6"/>
    <n v="835.89800000000002"/>
    <n v="587.98599999999999"/>
    <n v="1487.472"/>
    <n v="5015.3879999999999"/>
  </r>
  <r>
    <n v="171"/>
    <d v="2025-10-28T00:00:00"/>
    <s v="Monitor A"/>
    <x v="2"/>
    <s v="Norte"/>
    <s v="Yago Sales"/>
    <n v="5"/>
    <n v="852.11199999999997"/>
    <n v="604.89800000000002"/>
    <n v="1236.07"/>
    <n v="4260.5600000000004"/>
  </r>
  <r>
    <n v="178"/>
    <d v="2025-08-03T00:00:00"/>
    <s v="Memória I"/>
    <x v="0"/>
    <s v="Sul"/>
    <s v="Sra. Olívia Pacheco"/>
    <n v="6"/>
    <n v="796.86800000000005"/>
    <n v="549.9"/>
    <n v="1481.808"/>
    <n v="4781.2079999999996"/>
  </r>
  <r>
    <n v="35"/>
    <d v="2025-06-01T00:00:00"/>
    <s v="Memória I"/>
    <x v="2"/>
    <s v="Norte"/>
    <s v="Hadassa Cardoso"/>
    <n v="7"/>
    <n v="673.28800000000001"/>
    <n v="429.95600000000002"/>
    <n v="1703.3240000000001"/>
    <n v="4713.0159999999996"/>
  </r>
  <r>
    <n v="206"/>
    <d v="2025-11-29T00:00:00"/>
    <s v="Roteador G"/>
    <x v="2"/>
    <s v="Sul"/>
    <s v="Sra. Olívia Pacheco"/>
    <n v="10"/>
    <n v="818.19799999999998"/>
    <n v="575.85400000000004"/>
    <n v="2423.44"/>
    <n v="8181.98"/>
  </r>
  <r>
    <n v="61"/>
    <d v="2025-05-22T00:00:00"/>
    <s v="Roteador G"/>
    <x v="0"/>
    <s v="Norte"/>
    <s v="Agatha Leão"/>
    <n v="7"/>
    <n v="488.78"/>
    <n v="247.126"/>
    <n v="1691.578"/>
    <n v="3421.46"/>
  </r>
  <r>
    <n v="40"/>
    <d v="2025-03-04T00:00:00"/>
    <s v="Tablet Z"/>
    <x v="4"/>
    <s v="Centro-Oeste"/>
    <s v="Yasmin Souza"/>
    <n v="2"/>
    <n v="739.85799999999995"/>
    <n v="499.28800000000001"/>
    <n v="481.14"/>
    <n v="1479.7159999999999"/>
  </r>
  <r>
    <n v="108"/>
    <d v="2025-04-03T00:00:00"/>
    <s v="Tablet Z"/>
    <x v="2"/>
    <s v="Centro-Oeste"/>
    <s v="Maria Luiza Martins"/>
    <n v="8"/>
    <n v="834.79"/>
    <n v="594.61199999999997"/>
    <n v="1921.424"/>
    <n v="6678.32"/>
  </r>
  <r>
    <n v="283"/>
    <d v="2025-06-29T00:00:00"/>
    <s v="Roteador G"/>
    <x v="3"/>
    <s v="Sudeste"/>
    <s v="Bento Mendes"/>
    <n v="8"/>
    <n v="569.10599999999999"/>
    <n v="329.70400000000001"/>
    <n v="1915.2159999999999"/>
    <n v="4552.848"/>
  </r>
  <r>
    <n v="20"/>
    <d v="2024-12-07T00:00:00"/>
    <s v="Impressora F"/>
    <x v="0"/>
    <s v="Centro-Oeste"/>
    <s v="Bento Mendes"/>
    <n v="6"/>
    <n v="723.66200000000003"/>
    <n v="485.00200000000001"/>
    <n v="1431.96"/>
    <n v="4341.9719999999998"/>
  </r>
  <r>
    <n v="24"/>
    <d v="2025-06-22T00:00:00"/>
    <s v="Processador K"/>
    <x v="3"/>
    <s v="Sul"/>
    <s v="Yasmin Souza"/>
    <n v="2"/>
    <n v="679.04600000000005"/>
    <n v="440.85199999999998"/>
    <n v="476.38799999999998"/>
    <n v="1358.0920000000001"/>
  </r>
  <r>
    <n v="167"/>
    <d v="2025-09-20T00:00:00"/>
    <s v="Roteador G"/>
    <x v="3"/>
    <s v="Norte"/>
    <s v="Bento Mendes"/>
    <n v="8"/>
    <n v="536.49400000000003"/>
    <n v="298.714"/>
    <n v="1902.24"/>
    <n v="4291.9520000000002"/>
  </r>
  <r>
    <n v="103"/>
    <d v="2025-04-28T00:00:00"/>
    <s v="SSD H"/>
    <x v="2"/>
    <s v="Sudeste"/>
    <s v="João Pedro Mendes"/>
    <n v="10"/>
    <n v="994.62199999999996"/>
    <n v="757.26"/>
    <n v="2373.62"/>
    <n v="9946.2199999999993"/>
  </r>
  <r>
    <n v="296"/>
    <d v="2025-01-27T00:00:00"/>
    <s v="Webcam D"/>
    <x v="3"/>
    <s v="Sudeste"/>
    <s v="Bento Azevedo"/>
    <n v="8"/>
    <n v="514.31600000000003"/>
    <n v="279.24"/>
    <n v="1880.6079999999999"/>
    <n v="4114.5280000000002"/>
  </r>
  <r>
    <n v="85"/>
    <d v="2025-09-17T00:00:00"/>
    <s v="Fone E"/>
    <x v="4"/>
    <s v="Centro-Oeste"/>
    <s v="Agatha Leão"/>
    <n v="3"/>
    <n v="680.154"/>
    <n v="445.48399999999998"/>
    <n v="704.01"/>
    <n v="2040.462"/>
  </r>
  <r>
    <n v="11"/>
    <d v="2025-07-31T00:00:00"/>
    <s v="Webcam D"/>
    <x v="2"/>
    <s v="Sudeste"/>
    <s v="Bento Azevedo"/>
    <n v="9"/>
    <n v="483.22399999999999"/>
    <n v="249.43600000000001"/>
    <n v="2104.0920000000001"/>
    <n v="4349.0159999999996"/>
  </r>
  <r>
    <n v="64"/>
    <d v="2025-08-19T00:00:00"/>
    <s v="Mouse C"/>
    <x v="3"/>
    <s v="Norte"/>
    <s v="Bento Mendes"/>
    <n v="9"/>
    <n v="867.38800000000003"/>
    <n v="634.45000000000005"/>
    <n v="2096.442"/>
    <n v="7806.4920000000002"/>
  </r>
  <r>
    <n v="190"/>
    <d v="2025-03-09T00:00:00"/>
    <s v="Tablet Z"/>
    <x v="2"/>
    <s v="Centro-Oeste"/>
    <s v="João Pedro Mendes"/>
    <n v="9"/>
    <n v="530.01599999999996"/>
    <n v="298.52800000000002"/>
    <n v="2083.3919999999998"/>
    <n v="4770.1440000000002"/>
  </r>
  <r>
    <n v="151"/>
    <d v="2025-07-14T00:00:00"/>
    <s v="Monitor A"/>
    <x v="1"/>
    <s v="Sul"/>
    <s v="Bento Mendes"/>
    <n v="3"/>
    <n v="796.18"/>
    <n v="565.51800000000003"/>
    <n v="691.98599999999999"/>
    <n v="2388.54"/>
  </r>
  <r>
    <n v="105"/>
    <d v="2024-12-28T00:00:00"/>
    <s v="Smartphone Y"/>
    <x v="2"/>
    <s v="Nordeste"/>
    <s v="Maria Luiza Martins"/>
    <n v="5"/>
    <n v="631.76"/>
    <n v="401.55200000000002"/>
    <n v="1151.04"/>
    <n v="3158.8"/>
  </r>
  <r>
    <n v="119"/>
    <d v="2025-08-10T00:00:00"/>
    <s v="Webcam D"/>
    <x v="3"/>
    <s v="Sul"/>
    <s v="Maria Luiza Martins"/>
    <n v="4"/>
    <n v="933.03599999999994"/>
    <n v="704.28800000000001"/>
    <n v="914.99199999999996"/>
    <n v="3732.1439999999998"/>
  </r>
  <r>
    <n v="182"/>
    <d v="2025-01-13T00:00:00"/>
    <s v="Teclado B"/>
    <x v="3"/>
    <s v="Sudeste"/>
    <s v="João Pedro Mendes"/>
    <n v="8"/>
    <n v="792.88199999999995"/>
    <n v="567.14400000000001"/>
    <n v="1805.904"/>
    <n v="6343.0559999999996"/>
  </r>
  <r>
    <n v="213"/>
    <d v="2025-08-23T00:00:00"/>
    <s v="Tablet Z"/>
    <x v="4"/>
    <s v="Nordeste"/>
    <s v="João Pedro Mendes"/>
    <n v="1"/>
    <n v="832.81799999999998"/>
    <n v="607.97199999999998"/>
    <n v="224.846"/>
    <n v="832.81799999999998"/>
  </r>
  <r>
    <n v="233"/>
    <d v="2025-03-10T00:00:00"/>
    <s v="Fone E"/>
    <x v="2"/>
    <s v="Norte"/>
    <s v="João Pedro Mendes"/>
    <n v="5"/>
    <n v="469.82600000000002"/>
    <n v="245.178"/>
    <n v="1123.24"/>
    <n v="2349.13"/>
  </r>
  <r>
    <n v="160"/>
    <d v="2024-12-06T00:00:00"/>
    <s v="Roteador G"/>
    <x v="4"/>
    <s v="Norte"/>
    <s v="Bento Mendes"/>
    <n v="3"/>
    <n v="775.35599999999999"/>
    <n v="551.11800000000005"/>
    <n v="672.71400000000006"/>
    <n v="2326.0680000000002"/>
  </r>
  <r>
    <n v="255"/>
    <d v="2025-01-20T00:00:00"/>
    <s v="Monitor A"/>
    <x v="2"/>
    <s v="Centro-Oeste"/>
    <s v="Bento Azevedo"/>
    <n v="2"/>
    <n v="737.04399999999998"/>
    <n v="514.86800000000005"/>
    <n v="444.35199999999998"/>
    <n v="1474.088"/>
  </r>
  <r>
    <n v="191"/>
    <d v="2025-06-13T00:00:00"/>
    <s v="Memória I"/>
    <x v="4"/>
    <s v="Norte"/>
    <s v="João Pedro Mendes"/>
    <n v="1"/>
    <n v="465.16"/>
    <n v="247.77799999999999"/>
    <n v="217.38200000000001"/>
    <n v="465.16"/>
  </r>
  <r>
    <n v="3"/>
    <d v="2025-09-11T00:00:00"/>
    <s v="Tablet Z"/>
    <x v="1"/>
    <s v="Sudeste"/>
    <s v="Hadassa Cardoso"/>
    <n v="6"/>
    <n v="763.12199999999996"/>
    <n v="546.51800000000003"/>
    <n v="1299.624"/>
    <n v="4578.732"/>
  </r>
  <r>
    <n v="285"/>
    <d v="2025-02-21T00:00:00"/>
    <s v="Tablet Z"/>
    <x v="0"/>
    <s v="Sudeste"/>
    <s v="Maria Luiza Martins"/>
    <n v="4"/>
    <n v="873.44200000000001"/>
    <n v="657.67600000000004"/>
    <n v="863.06399999999996"/>
    <n v="3493.768"/>
  </r>
  <r>
    <n v="295"/>
    <d v="2025-03-23T00:00:00"/>
    <s v="Processador K"/>
    <x v="1"/>
    <s v="Norte"/>
    <s v="Sra. Olívia Pacheco"/>
    <n v="8"/>
    <n v="669.41800000000001"/>
    <n v="453.93400000000003"/>
    <n v="1723.8720000000001"/>
    <n v="5355.3440000000001"/>
  </r>
  <r>
    <n v="297"/>
    <d v="2025-11-05T00:00:00"/>
    <s v="Memória I"/>
    <x v="3"/>
    <s v="Sul"/>
    <s v="Agatha Leão"/>
    <n v="4"/>
    <n v="710.26"/>
    <n v="496.06"/>
    <n v="856.8"/>
    <n v="2841.04"/>
  </r>
  <r>
    <n v="79"/>
    <d v="2025-10-29T00:00:00"/>
    <s v="Smartphone Y"/>
    <x v="1"/>
    <s v="Sul"/>
    <s v="Sra. Olívia Pacheco"/>
    <n v="3"/>
    <n v="945.00599999999997"/>
    <n v="731.26400000000001"/>
    <n v="641.226"/>
    <n v="2835.018"/>
  </r>
  <r>
    <n v="298"/>
    <d v="2025-07-15T00:00:00"/>
    <s v="Notebook X"/>
    <x v="1"/>
    <s v="Norte"/>
    <s v="Sra. Olívia Pacheco"/>
    <n v="10"/>
    <n v="627.24599999999998"/>
    <n v="413.75799999999998"/>
    <n v="2134.88"/>
    <n v="6272.46"/>
  </r>
  <r>
    <n v="107"/>
    <d v="2025-04-20T00:00:00"/>
    <s v="SSD H"/>
    <x v="1"/>
    <s v="Sul"/>
    <s v="Bento Mendes"/>
    <n v="7"/>
    <n v="444.96600000000001"/>
    <n v="231.934"/>
    <n v="1491.2239999999999"/>
    <n v="3114.7620000000002"/>
  </r>
  <r>
    <n v="97"/>
    <d v="2025-03-10T00:00:00"/>
    <s v="Processador K"/>
    <x v="3"/>
    <s v="Sul"/>
    <s v="Bento Mendes"/>
    <n v="10"/>
    <n v="644.16600000000005"/>
    <n v="433.93599999999998"/>
    <n v="2102.3000000000002"/>
    <n v="6441.66"/>
  </r>
  <r>
    <n v="118"/>
    <d v="2025-07-31T00:00:00"/>
    <s v="Teclado B"/>
    <x v="3"/>
    <s v="Nordeste"/>
    <s v="Agatha Leão"/>
    <n v="7"/>
    <n v="636.07000000000005"/>
    <n v="428.38"/>
    <n v="1453.83"/>
    <n v="4452.49"/>
  </r>
  <r>
    <n v="77"/>
    <d v="2025-08-17T00:00:00"/>
    <s v="Placa de Vídeo J"/>
    <x v="4"/>
    <s v="Norte"/>
    <s v="Yago Sales"/>
    <n v="10"/>
    <n v="624.58399999999995"/>
    <n v="416.96800000000002"/>
    <n v="2076.16"/>
    <n v="6245.84"/>
  </r>
  <r>
    <n v="224"/>
    <d v="2025-01-06T00:00:00"/>
    <s v="Monitor A"/>
    <x v="2"/>
    <s v="Sudeste"/>
    <s v="Yago Sales"/>
    <n v="2"/>
    <n v="987.16200000000003"/>
    <n v="780.33799999999997"/>
    <n v="413.64800000000002"/>
    <n v="1974.3240000000001"/>
  </r>
  <r>
    <n v="140"/>
    <d v="2025-04-13T00:00:00"/>
    <s v="Webcam D"/>
    <x v="4"/>
    <s v="Centro-Oeste"/>
    <s v="Yago Sales"/>
    <n v="1"/>
    <n v="670.14"/>
    <n v="463.70800000000003"/>
    <n v="206.43199999999999"/>
    <n v="670.14"/>
  </r>
  <r>
    <n v="242"/>
    <d v="2025-03-02T00:00:00"/>
    <s v="Webcam D"/>
    <x v="0"/>
    <s v="Centro-Oeste"/>
    <s v="João Pedro Mendes"/>
    <n v="9"/>
    <n v="566.59199999999998"/>
    <n v="360.23399999999998"/>
    <n v="1857.222"/>
    <n v="5099.3280000000004"/>
  </r>
  <r>
    <n v="186"/>
    <d v="2025-09-01T00:00:00"/>
    <s v="Monitor A"/>
    <x v="4"/>
    <s v="Norte"/>
    <s v="Agatha Leão"/>
    <n v="5"/>
    <n v="590.37599999999998"/>
    <n v="384.54199999999997"/>
    <n v="1029.17"/>
    <n v="2951.88"/>
  </r>
  <r>
    <n v="74"/>
    <d v="2024-12-12T00:00:00"/>
    <s v="Notebook X"/>
    <x v="2"/>
    <s v="Sudeste"/>
    <s v="Maria Isis Azevedo"/>
    <n v="10"/>
    <n v="777.928"/>
    <n v="572.51800000000003"/>
    <n v="2054.1"/>
    <n v="7779.28"/>
  </r>
  <r>
    <n v="15"/>
    <d v="2025-05-04T00:00:00"/>
    <s v="SSD H"/>
    <x v="4"/>
    <s v="Sul"/>
    <s v="Agatha Leão"/>
    <n v="9"/>
    <n v="463.23399999999998"/>
    <n v="260.226"/>
    <n v="1827.0719999999999"/>
    <n v="4169.1059999999998"/>
  </r>
  <r>
    <n v="203"/>
    <d v="2025-07-29T00:00:00"/>
    <s v="Memória I"/>
    <x v="1"/>
    <s v="Sudeste"/>
    <s v="Bento Mendes"/>
    <n v="4"/>
    <n v="772.96"/>
    <n v="571.09799999999996"/>
    <n v="807.44799999999998"/>
    <n v="3091.84"/>
  </r>
  <r>
    <n v="109"/>
    <d v="2025-09-16T00:00:00"/>
    <s v="Mouse C"/>
    <x v="3"/>
    <s v="Nordeste"/>
    <s v="Agatha Leão"/>
    <n v="9"/>
    <n v="850.90800000000002"/>
    <n v="649.774"/>
    <n v="1810.2059999999999"/>
    <n v="7658.1719999999996"/>
  </r>
  <r>
    <n v="18"/>
    <d v="2025-08-30T00:00:00"/>
    <s v="Memória I"/>
    <x v="2"/>
    <s v="Sudeste"/>
    <s v="Sra. Olívia Pacheco"/>
    <n v="9"/>
    <n v="460.63600000000002"/>
    <n v="260.44400000000002"/>
    <n v="1801.7280000000001"/>
    <n v="4145.7240000000002"/>
  </r>
  <r>
    <n v="236"/>
    <d v="2025-06-22T00:00:00"/>
    <s v="Teclado B"/>
    <x v="3"/>
    <s v="Sul"/>
    <s v="Yasmin Souza"/>
    <n v="6"/>
    <n v="700.91600000000005"/>
    <n v="501.40600000000001"/>
    <n v="1197.06"/>
    <n v="4205.4960000000001"/>
  </r>
  <r>
    <n v="70"/>
    <d v="2025-05-18T00:00:00"/>
    <s v="Processador K"/>
    <x v="0"/>
    <s v="Norte"/>
    <s v="Bento Mendes"/>
    <n v="7"/>
    <n v="971.99400000000003"/>
    <n v="772.678"/>
    <n v="1395.212"/>
    <n v="6803.9579999999996"/>
  </r>
  <r>
    <n v="121"/>
    <d v="2025-05-12T00:00:00"/>
    <s v="Monitor A"/>
    <x v="3"/>
    <s v="Nordeste"/>
    <s v="Bento Azevedo"/>
    <n v="6"/>
    <n v="478.46199999999999"/>
    <n v="279.82400000000001"/>
    <n v="1191.828"/>
    <n v="2870.7719999999999"/>
  </r>
  <r>
    <n v="99"/>
    <d v="2025-01-25T00:00:00"/>
    <s v="Processador K"/>
    <x v="1"/>
    <s v="Sul"/>
    <s v="Yasmin Souza"/>
    <n v="7"/>
    <n v="798.68200000000002"/>
    <n v="600.59"/>
    <n v="1386.644"/>
    <n v="5590.7740000000003"/>
  </r>
  <r>
    <n v="129"/>
    <d v="2025-08-10T00:00:00"/>
    <s v="Mouse C"/>
    <x v="2"/>
    <s v="Sudeste"/>
    <s v="Yago Sales"/>
    <n v="8"/>
    <n v="638.55799999999999"/>
    <n v="443.13200000000001"/>
    <n v="1563.4079999999999"/>
    <n v="5108.4639999999999"/>
  </r>
  <r>
    <n v="14"/>
    <d v="2025-06-18T00:00:00"/>
    <s v="SSD H"/>
    <x v="0"/>
    <s v="Nordeste"/>
    <s v="Bento Mendes"/>
    <n v="1"/>
    <n v="793.49800000000005"/>
    <n v="598.17200000000003"/>
    <n v="195.32599999999999"/>
    <n v="793.49800000000005"/>
  </r>
  <r>
    <n v="8"/>
    <d v="2025-03-24T00:00:00"/>
    <s v="SSD H"/>
    <x v="0"/>
    <s v="Centro-Oeste"/>
    <s v="Maria Isis Azevedo"/>
    <n v="7"/>
    <n v="585.26599999999996"/>
    <n v="391.01799999999997"/>
    <n v="1359.7360000000001"/>
    <n v="4096.8620000000001"/>
  </r>
  <r>
    <n v="165"/>
    <d v="2025-08-25T00:00:00"/>
    <s v="Memória I"/>
    <x v="4"/>
    <s v="Nordeste"/>
    <s v="Sra. Olívia Pacheco"/>
    <n v="5"/>
    <n v="628.50400000000002"/>
    <n v="434.67599999999999"/>
    <n v="969.14"/>
    <n v="3142.52"/>
  </r>
  <r>
    <n v="80"/>
    <d v="2025-11-17T00:00:00"/>
    <s v="Processador K"/>
    <x v="0"/>
    <s v="Norte"/>
    <s v="Hadassa Cardoso"/>
    <n v="6"/>
    <n v="649.05200000000002"/>
    <n v="456.988"/>
    <n v="1152.384"/>
    <n v="3894.3119999999999"/>
  </r>
  <r>
    <n v="122"/>
    <d v="2025-09-29T00:00:00"/>
    <s v="Processador K"/>
    <x v="2"/>
    <s v="Norte"/>
    <s v="Yago Sales"/>
    <n v="2"/>
    <n v="421.60599999999999"/>
    <n v="230.25399999999999"/>
    <n v="382.70400000000001"/>
    <n v="843.21199999999999"/>
  </r>
  <r>
    <n v="89"/>
    <d v="2025-07-29T00:00:00"/>
    <s v="Fone E"/>
    <x v="0"/>
    <s v="Nordeste"/>
    <s v="Bento Azevedo"/>
    <n v="8"/>
    <n v="893.01199999999994"/>
    <n v="702.21799999999996"/>
    <n v="1526.3520000000001"/>
    <n v="7144.0959999999995"/>
  </r>
  <r>
    <n v="247"/>
    <d v="2025-09-08T00:00:00"/>
    <s v="Monitor A"/>
    <x v="2"/>
    <s v="Nordeste"/>
    <s v="Yago Sales"/>
    <n v="3"/>
    <n v="919.51199999999994"/>
    <n v="731.37400000000002"/>
    <n v="564.41399999999999"/>
    <n v="2758.5360000000001"/>
  </r>
  <r>
    <n v="132"/>
    <d v="2025-08-23T00:00:00"/>
    <s v="Placa de Vídeo J"/>
    <x v="2"/>
    <s v="Norte"/>
    <s v="Bento Mendes"/>
    <n v="9"/>
    <n v="527.76400000000001"/>
    <n v="340.97199999999998"/>
    <n v="1681.1279999999999"/>
    <n v="4749.8760000000002"/>
  </r>
  <r>
    <n v="106"/>
    <d v="2025-09-06T00:00:00"/>
    <s v="Smartphone Y"/>
    <x v="2"/>
    <s v="Norte"/>
    <s v="Maria Luiza Martins"/>
    <n v="8"/>
    <n v="737.87199999999996"/>
    <n v="551.33199999999999"/>
    <n v="1492.32"/>
    <n v="5902.9759999999997"/>
  </r>
  <r>
    <n v="27"/>
    <d v="2025-11-05T00:00:00"/>
    <s v="Fone E"/>
    <x v="2"/>
    <s v="Sul"/>
    <s v="Sra. Olívia Pacheco"/>
    <n v="2"/>
    <n v="692.50800000000004"/>
    <n v="506.166"/>
    <n v="372.68400000000003"/>
    <n v="1385.0160000000001"/>
  </r>
  <r>
    <n v="10"/>
    <d v="2025-07-09T00:00:00"/>
    <s v="Memória I"/>
    <x v="0"/>
    <s v="Norte"/>
    <s v="Bento Mendes"/>
    <n v="3"/>
    <n v="431.61399999999998"/>
    <n v="245.42599999999999"/>
    <n v="558.56399999999996"/>
    <n v="1294.8420000000001"/>
  </r>
  <r>
    <n v="141"/>
    <d v="2025-05-10T00:00:00"/>
    <s v="Mouse C"/>
    <x v="0"/>
    <s v="Sudeste"/>
    <s v="Yasmin Souza"/>
    <n v="6"/>
    <n v="719.31399999999996"/>
    <n v="533.14599999999996"/>
    <n v="1117.008"/>
    <n v="4315.884"/>
  </r>
  <r>
    <n v="131"/>
    <d v="2025-06-22T00:00:00"/>
    <s v="Notebook X"/>
    <x v="0"/>
    <s v="Centro-Oeste"/>
    <s v="Bento Mendes"/>
    <n v="9"/>
    <n v="412.846"/>
    <n v="227.17599999999999"/>
    <n v="1671.03"/>
    <n v="3715.614"/>
  </r>
  <r>
    <n v="250"/>
    <d v="2025-06-27T00:00:00"/>
    <s v="Monitor A"/>
    <x v="3"/>
    <s v="Sudeste"/>
    <s v="Yasmin Souza"/>
    <n v="1"/>
    <n v="732.73599999999999"/>
    <n v="547.46"/>
    <n v="185.27600000000001"/>
    <n v="732.73599999999999"/>
  </r>
  <r>
    <n v="113"/>
    <d v="2025-01-19T00:00:00"/>
    <s v="Memória I"/>
    <x v="3"/>
    <s v="Norte"/>
    <s v="Bento Azevedo"/>
    <n v="3"/>
    <n v="424.77"/>
    <n v="242.83"/>
    <n v="545.82000000000005"/>
    <n v="1274.31"/>
  </r>
  <r>
    <n v="5"/>
    <d v="2025-10-09T00:00:00"/>
    <s v="Mouse C"/>
    <x v="1"/>
    <s v="Centro-Oeste"/>
    <s v="Maria Luiza Martins"/>
    <n v="4"/>
    <n v="694.42"/>
    <n v="512.904"/>
    <n v="726.06399999999996"/>
    <n v="2777.68"/>
  </r>
  <r>
    <n v="223"/>
    <d v="2025-11-21T00:00:00"/>
    <s v="Fone E"/>
    <x v="4"/>
    <s v="Norte"/>
    <s v="Sra. Olívia Pacheco"/>
    <n v="7"/>
    <n v="431.99799999999999"/>
    <n v="253.316"/>
    <n v="1250.7739999999999"/>
    <n v="3023.9859999999999"/>
  </r>
  <r>
    <n v="180"/>
    <d v="2025-07-11T00:00:00"/>
    <s v="Smartphone Y"/>
    <x v="1"/>
    <s v="Sul"/>
    <s v="Bento Mendes"/>
    <n v="8"/>
    <n v="382.01799999999997"/>
    <n v="204.774"/>
    <n v="1417.952"/>
    <n v="3056.1439999999998"/>
  </r>
  <r>
    <n v="42"/>
    <d v="2025-08-07T00:00:00"/>
    <s v="Fone E"/>
    <x v="0"/>
    <s v="Norte"/>
    <s v="Hadassa Cardoso"/>
    <n v="2"/>
    <n v="424.86599999999999"/>
    <n v="248.26599999999999"/>
    <n v="353.2"/>
    <n v="849.73199999999997"/>
  </r>
  <r>
    <n v="193"/>
    <d v="2025-08-24T00:00:00"/>
    <s v="Roteador G"/>
    <x v="4"/>
    <s v="Sul"/>
    <s v="Bento Azevedo"/>
    <n v="1"/>
    <n v="623.30200000000002"/>
    <n v="447.666"/>
    <n v="175.636"/>
    <n v="623.30200000000002"/>
  </r>
  <r>
    <n v="153"/>
    <d v="2025-07-13T00:00:00"/>
    <s v="Roteador G"/>
    <x v="0"/>
    <s v="Centro-Oeste"/>
    <s v="Yago Sales"/>
    <n v="6"/>
    <n v="355.89800000000002"/>
    <n v="180.328"/>
    <n v="1053.42"/>
    <n v="2135.3879999999999"/>
  </r>
  <r>
    <n v="243"/>
    <d v="2025-09-26T00:00:00"/>
    <s v="Monitor A"/>
    <x v="4"/>
    <s v="Norte"/>
    <s v="João Pedro Mendes"/>
    <n v="6"/>
    <n v="566.79200000000003"/>
    <n v="393.33"/>
    <n v="1040.7719999999999"/>
    <n v="3400.752"/>
  </r>
  <r>
    <n v="214"/>
    <d v="2025-10-05T00:00:00"/>
    <s v="Roteador G"/>
    <x v="4"/>
    <s v="Sul"/>
    <s v="Yasmin Souza"/>
    <n v="10"/>
    <n v="516.40599999999995"/>
    <n v="343.82799999999997"/>
    <n v="1725.78"/>
    <n v="5164.0600000000004"/>
  </r>
  <r>
    <n v="253"/>
    <d v="2025-02-26T00:00:00"/>
    <s v="Placa de Vídeo J"/>
    <x v="0"/>
    <s v="Centro-Oeste"/>
    <s v="Agatha Leão"/>
    <n v="9"/>
    <n v="561.77"/>
    <n v="389.64"/>
    <n v="1549.17"/>
    <n v="5055.93"/>
  </r>
  <r>
    <n v="221"/>
    <d v="2025-04-16T00:00:00"/>
    <s v="Roteador G"/>
    <x v="4"/>
    <s v="Nordeste"/>
    <s v="Yago Sales"/>
    <n v="2"/>
    <n v="475.42200000000003"/>
    <n v="304.79399999999998"/>
    <n v="341.25599999999997"/>
    <n v="950.84400000000005"/>
  </r>
  <r>
    <n v="169"/>
    <d v="2024-12-17T00:00:00"/>
    <s v="Impressora F"/>
    <x v="3"/>
    <s v="Centro-Oeste"/>
    <s v="Sra. Olívia Pacheco"/>
    <n v="10"/>
    <n v="616.82000000000005"/>
    <n v="446.45600000000002"/>
    <n v="1703.64"/>
    <n v="6168.2"/>
  </r>
  <r>
    <n v="50"/>
    <d v="2025-09-18T00:00:00"/>
    <s v="Tablet Z"/>
    <x v="1"/>
    <s v="Sul"/>
    <s v="Agatha Leão"/>
    <n v="3"/>
    <n v="829.41800000000001"/>
    <n v="660.41200000000003"/>
    <n v="507.01799999999997"/>
    <n v="2488.2539999999999"/>
  </r>
  <r>
    <n v="25"/>
    <d v="2025-09-18T00:00:00"/>
    <s v="Processador K"/>
    <x v="3"/>
    <s v="Sul"/>
    <s v="Sra. Olívia Pacheco"/>
    <n v="7"/>
    <n v="699.00199999999995"/>
    <n v="530.33199999999999"/>
    <n v="1180.69"/>
    <n v="4893.0140000000001"/>
  </r>
  <r>
    <n v="189"/>
    <d v="2025-07-23T00:00:00"/>
    <s v="SSD H"/>
    <x v="4"/>
    <s v="Sudeste"/>
    <s v="Bento Azevedo"/>
    <n v="2"/>
    <n v="394.572"/>
    <n v="226.84"/>
    <n v="335.464"/>
    <n v="789.14400000000001"/>
  </r>
  <r>
    <n v="48"/>
    <d v="2024-12-30T00:00:00"/>
    <s v="Processador K"/>
    <x v="1"/>
    <s v="Sudeste"/>
    <s v="Yago Sales"/>
    <n v="4"/>
    <n v="427.91399999999999"/>
    <n v="260.44600000000003"/>
    <n v="669.87199999999996"/>
    <n v="1711.6559999999999"/>
  </r>
  <r>
    <n v="32"/>
    <d v="2025-10-17T00:00:00"/>
    <s v="SSD H"/>
    <x v="3"/>
    <s v="Sul"/>
    <s v="Yasmin Souza"/>
    <n v="9"/>
    <n v="766.89599999999996"/>
    <n v="599.50599999999997"/>
    <n v="1506.51"/>
    <n v="6902.0640000000003"/>
  </r>
  <r>
    <n v="226"/>
    <d v="2025-10-14T00:00:00"/>
    <s v="Webcam D"/>
    <x v="4"/>
    <s v="Nordeste"/>
    <s v="Bento Mendes"/>
    <n v="3"/>
    <n v="593.18600000000004"/>
    <n v="430.142"/>
    <n v="489.13200000000001"/>
    <n v="1779.558"/>
  </r>
  <r>
    <n v="228"/>
    <d v="2025-05-07T00:00:00"/>
    <s v="SSD H"/>
    <x v="4"/>
    <s v="Norte"/>
    <s v="Yasmin Souza"/>
    <n v="6"/>
    <n v="513.01199999999994"/>
    <n v="350.35199999999998"/>
    <n v="975.96"/>
    <n v="3078.0720000000001"/>
  </r>
  <r>
    <n v="181"/>
    <d v="2025-06-23T00:00:00"/>
    <s v="Memória I"/>
    <x v="3"/>
    <s v="Sul"/>
    <s v="Yago Sales"/>
    <n v="5"/>
    <n v="596.62"/>
    <n v="434.54"/>
    <n v="810.4"/>
    <n v="2983.1"/>
  </r>
  <r>
    <n v="67"/>
    <d v="2025-01-12T00:00:00"/>
    <s v="Notebook X"/>
    <x v="2"/>
    <s v="Sudeste"/>
    <s v="João Pedro Mendes"/>
    <n v="1"/>
    <n v="420.96"/>
    <n v="259.30399999999997"/>
    <n v="161.65600000000001"/>
    <n v="420.96"/>
  </r>
  <r>
    <n v="23"/>
    <d v="2025-08-31T00:00:00"/>
    <s v="Teclado B"/>
    <x v="0"/>
    <s v="Centro-Oeste"/>
    <s v="Yasmin Souza"/>
    <n v="10"/>
    <n v="579.19799999999998"/>
    <n v="419.95800000000003"/>
    <n v="1592.4"/>
    <n v="5791.98"/>
  </r>
  <r>
    <n v="73"/>
    <d v="2025-05-02T00:00:00"/>
    <s v="Webcam D"/>
    <x v="3"/>
    <s v="Centro-Oeste"/>
    <s v="Maria Isis Azevedo"/>
    <n v="2"/>
    <n v="359.62799999999999"/>
    <n v="201.56800000000001"/>
    <n v="316.12"/>
    <n v="719.25599999999997"/>
  </r>
  <r>
    <n v="26"/>
    <d v="2025-11-12T00:00:00"/>
    <s v="SSD H"/>
    <x v="3"/>
    <s v="Sudeste"/>
    <s v="Hadassa Cardoso"/>
    <n v="4"/>
    <n v="696.05600000000004"/>
    <n v="538.54999999999995"/>
    <n v="630.024"/>
    <n v="2784.2240000000002"/>
  </r>
  <r>
    <n v="268"/>
    <d v="2025-02-05T00:00:00"/>
    <s v="Impressora F"/>
    <x v="1"/>
    <s v="Centro-Oeste"/>
    <s v="João Pedro Mendes"/>
    <n v="9"/>
    <n v="627.75"/>
    <n v="471.38"/>
    <n v="1407.33"/>
    <n v="5649.75"/>
  </r>
  <r>
    <n v="87"/>
    <d v="2025-03-25T00:00:00"/>
    <s v="Impressora F"/>
    <x v="3"/>
    <s v="Sul"/>
    <s v="Bento Mendes"/>
    <n v="1"/>
    <n v="571.70399999999995"/>
    <n v="416.35"/>
    <n v="155.35400000000001"/>
    <n v="571.70399999999995"/>
  </r>
  <r>
    <n v="278"/>
    <d v="2024-12-25T00:00:00"/>
    <s v="Memória I"/>
    <x v="4"/>
    <s v="Sudeste"/>
    <s v="Bento Mendes"/>
    <n v="9"/>
    <n v="566.07799999999997"/>
    <n v="411.02199999999999"/>
    <n v="1395.5039999999999"/>
    <n v="5094.7020000000002"/>
  </r>
  <r>
    <n v="254"/>
    <d v="2025-10-21T00:00:00"/>
    <s v="Smartphone Y"/>
    <x v="3"/>
    <s v="Nordeste"/>
    <s v="Bento Mendes"/>
    <n v="8"/>
    <n v="560.01599999999996"/>
    <n v="405.07"/>
    <n v="1239.568"/>
    <n v="4480.1279999999997"/>
  </r>
  <r>
    <n v="30"/>
    <d v="2025-10-09T00:00:00"/>
    <s v="Impressora F"/>
    <x v="0"/>
    <s v="Sul"/>
    <s v="Agatha Leão"/>
    <n v="2"/>
    <n v="352.43"/>
    <n v="197.69200000000001"/>
    <n v="309.476"/>
    <n v="704.86"/>
  </r>
  <r>
    <n v="219"/>
    <d v="2025-05-26T00:00:00"/>
    <s v="Smartphone Y"/>
    <x v="2"/>
    <s v="Sul"/>
    <s v="Maria Luiza Martins"/>
    <n v="6"/>
    <n v="765.69600000000003"/>
    <n v="611.83600000000001"/>
    <n v="923.16"/>
    <n v="4594.1760000000004"/>
  </r>
  <r>
    <n v="44"/>
    <d v="2025-02-26T00:00:00"/>
    <s v="Monitor A"/>
    <x v="4"/>
    <s v="Sul"/>
    <s v="Maria Isis Azevedo"/>
    <n v="2"/>
    <n v="366.9"/>
    <n v="213.36199999999999"/>
    <n v="307.07600000000002"/>
    <n v="733.8"/>
  </r>
  <r>
    <n v="127"/>
    <d v="2025-10-26T00:00:00"/>
    <s v="Teclado B"/>
    <x v="0"/>
    <s v="Sudeste"/>
    <s v="Bento Mendes"/>
    <n v="7"/>
    <n v="352.48200000000003"/>
    <n v="200.46199999999999"/>
    <n v="1064.1400000000001"/>
    <n v="2467.3739999999998"/>
  </r>
  <r>
    <n v="234"/>
    <d v="2025-03-13T00:00:00"/>
    <s v="Mouse C"/>
    <x v="4"/>
    <s v="Sudeste"/>
    <s v="João Pedro Mendes"/>
    <n v="7"/>
    <n v="540.14800000000002"/>
    <n v="389.11799999999999"/>
    <n v="1057.21"/>
    <n v="3781.0360000000001"/>
  </r>
  <r>
    <n v="22"/>
    <d v="2025-01-22T00:00:00"/>
    <s v="Webcam D"/>
    <x v="1"/>
    <s v="Norte"/>
    <s v="Hadassa Cardoso"/>
    <n v="10"/>
    <n v="529.91"/>
    <n v="379.93799999999999"/>
    <n v="1499.72"/>
    <n v="5299.1"/>
  </r>
  <r>
    <n v="177"/>
    <d v="2025-07-02T00:00:00"/>
    <s v="Memória I"/>
    <x v="4"/>
    <s v="Centro-Oeste"/>
    <s v="Bento Azevedo"/>
    <n v="3"/>
    <n v="388.18799999999999"/>
    <n v="240.38800000000001"/>
    <n v="443.4"/>
    <n v="1164.5640000000001"/>
  </r>
  <r>
    <n v="47"/>
    <d v="2025-08-16T00:00:00"/>
    <s v="Memória I"/>
    <x v="1"/>
    <s v="Norte"/>
    <s v="Bento Mendes"/>
    <n v="9"/>
    <n v="315.93200000000002"/>
    <n v="168.24"/>
    <n v="1329.2280000000001"/>
    <n v="2843.3879999999999"/>
  </r>
  <r>
    <n v="65"/>
    <d v="2025-04-29T00:00:00"/>
    <s v="Processador K"/>
    <x v="0"/>
    <s v="Sul"/>
    <s v="Bento Mendes"/>
    <n v="6"/>
    <n v="408.96"/>
    <n v="261.93599999999998"/>
    <n v="882.14400000000001"/>
    <n v="2453.7600000000002"/>
  </r>
  <r>
    <n v="62"/>
    <d v="2025-01-22T00:00:00"/>
    <s v="Tablet Z"/>
    <x v="1"/>
    <s v="Nordeste"/>
    <s v="Agatha Leão"/>
    <n v="5"/>
    <n v="472.92399999999998"/>
    <n v="327.63200000000001"/>
    <n v="726.46"/>
    <n v="2364.62"/>
  </r>
  <r>
    <n v="205"/>
    <d v="2025-03-23T00:00:00"/>
    <s v="SSD H"/>
    <x v="4"/>
    <s v="Sul"/>
    <s v="Bento Azevedo"/>
    <n v="6"/>
    <n v="702.01199999999994"/>
    <n v="558.18799999999999"/>
    <n v="862.94399999999996"/>
    <n v="4212.0720000000001"/>
  </r>
  <r>
    <n v="238"/>
    <d v="2025-11-21T00:00:00"/>
    <s v="Processador K"/>
    <x v="3"/>
    <s v="Sudeste"/>
    <s v="João Pedro Mendes"/>
    <n v="2"/>
    <n v="551.84799999999996"/>
    <n v="410.23599999999999"/>
    <n v="283.22399999999999"/>
    <n v="1103.6959999999999"/>
  </r>
  <r>
    <n v="55"/>
    <d v="2025-06-30T00:00:00"/>
    <s v="Webcam D"/>
    <x v="2"/>
    <s v="Sudeste"/>
    <s v="Bento Mendes"/>
    <n v="4"/>
    <n v="640.54999999999995"/>
    <n v="499.69"/>
    <n v="563.44000000000005"/>
    <n v="2562.1999999999998"/>
  </r>
  <r>
    <n v="290"/>
    <d v="2025-03-10T00:00:00"/>
    <s v="Mouse C"/>
    <x v="2"/>
    <s v="Sudeste"/>
    <s v="Hadassa Cardoso"/>
    <n v="7"/>
    <n v="635.28399999999999"/>
    <n v="494.72199999999998"/>
    <n v="983.93399999999997"/>
    <n v="4446.9880000000003"/>
  </r>
  <r>
    <n v="188"/>
    <d v="2025-09-04T00:00:00"/>
    <s v="Webcam D"/>
    <x v="2"/>
    <s v="Nordeste"/>
    <s v="Bento Azevedo"/>
    <n v="10"/>
    <n v="370.35199999999998"/>
    <n v="230.35"/>
    <n v="1400.02"/>
    <n v="3703.52"/>
  </r>
  <r>
    <n v="270"/>
    <d v="2025-06-29T00:00:00"/>
    <s v="Tablet Z"/>
    <x v="3"/>
    <s v="Nordeste"/>
    <s v="Yasmin Souza"/>
    <n v="7"/>
    <n v="430.10599999999999"/>
    <n v="292.86799999999999"/>
    <n v="960.66600000000005"/>
    <n v="3010.7420000000002"/>
  </r>
  <r>
    <n v="19"/>
    <d v="2025-05-09T00:00:00"/>
    <s v="Notebook X"/>
    <x v="0"/>
    <s v="Centro-Oeste"/>
    <s v="João Pedro Mendes"/>
    <n v="4"/>
    <n v="382.95800000000003"/>
    <n v="246.51400000000001"/>
    <n v="545.77599999999995"/>
    <n v="1531.8320000000001"/>
  </r>
  <r>
    <n v="282"/>
    <d v="2025-07-26T00:00:00"/>
    <s v="Fone E"/>
    <x v="2"/>
    <s v="Sul"/>
    <s v="Hadassa Cardoso"/>
    <n v="3"/>
    <n v="361.56200000000001"/>
    <n v="225.292"/>
    <n v="408.81"/>
    <n v="1084.6859999999999"/>
  </r>
  <r>
    <n v="46"/>
    <d v="2025-11-01T00:00:00"/>
    <s v="Roteador G"/>
    <x v="0"/>
    <s v="Sul"/>
    <s v="Maria Luiza Martins"/>
    <n v="10"/>
    <n v="321.25400000000002"/>
    <n v="185.494"/>
    <n v="1357.6"/>
    <n v="3212.54"/>
  </r>
  <r>
    <n v="276"/>
    <d v="2025-08-15T00:00:00"/>
    <s v="Impressora F"/>
    <x v="4"/>
    <s v="Norte"/>
    <s v="João Pedro Mendes"/>
    <n v="2"/>
    <n v="422.35199999999998"/>
    <n v="286.84800000000001"/>
    <n v="271.00799999999998"/>
    <n v="844.70399999999995"/>
  </r>
  <r>
    <n v="123"/>
    <d v="2025-07-04T00:00:00"/>
    <s v="Tablet Z"/>
    <x v="1"/>
    <s v="Centro-Oeste"/>
    <s v="Maria Isis Azevedo"/>
    <n v="4"/>
    <n v="505.02199999999999"/>
    <n v="372.33600000000001"/>
    <n v="530.74400000000003"/>
    <n v="2020.088"/>
  </r>
  <r>
    <n v="16"/>
    <d v="2025-04-27T00:00:00"/>
    <s v="Fone E"/>
    <x v="2"/>
    <s v="Nordeste"/>
    <s v="Yasmin Souza"/>
    <n v="2"/>
    <n v="435.928"/>
    <n v="303.25"/>
    <n v="265.35599999999999"/>
    <n v="871.85599999999999"/>
  </r>
  <r>
    <n v="207"/>
    <d v="2025-08-24T00:00:00"/>
    <s v="Fone E"/>
    <x v="2"/>
    <s v="Sul"/>
    <s v="Agatha Leão"/>
    <n v="10"/>
    <n v="509.78399999999999"/>
    <n v="377.33600000000001"/>
    <n v="1324.48"/>
    <n v="5097.84"/>
  </r>
  <r>
    <n v="288"/>
    <d v="2025-02-24T00:00:00"/>
    <s v="Monitor A"/>
    <x v="1"/>
    <s v="Centro-Oeste"/>
    <s v="Yago Sales"/>
    <n v="6"/>
    <n v="380.94400000000002"/>
    <n v="249.244"/>
    <n v="790.2"/>
    <n v="2285.6640000000002"/>
  </r>
  <r>
    <n v="28"/>
    <d v="2024-12-18T00:00:00"/>
    <s v="SSD H"/>
    <x v="2"/>
    <s v="Norte"/>
    <s v="Yasmin Souza"/>
    <n v="4"/>
    <n v="493.22"/>
    <n v="361.88400000000001"/>
    <n v="525.34400000000005"/>
    <n v="1972.88"/>
  </r>
  <r>
    <n v="93"/>
    <d v="2024-12-19T00:00:00"/>
    <s v="Memória I"/>
    <x v="4"/>
    <s v="Centro-Oeste"/>
    <s v="Maria Luiza Martins"/>
    <n v="5"/>
    <n v="377.76400000000001"/>
    <n v="247.07400000000001"/>
    <n v="653.45000000000005"/>
    <n v="1888.82"/>
  </r>
  <r>
    <n v="192"/>
    <d v="2025-03-08T00:00:00"/>
    <s v="Webcam D"/>
    <x v="4"/>
    <s v="Nordeste"/>
    <s v="Bento Azevedo"/>
    <n v="9"/>
    <n v="487.82799999999997"/>
    <n v="358.63200000000001"/>
    <n v="1162.7639999999999"/>
    <n v="4390.4520000000002"/>
  </r>
  <r>
    <n v="57"/>
    <d v="2025-10-28T00:00:00"/>
    <s v="Notebook X"/>
    <x v="4"/>
    <s v="Centro-Oeste"/>
    <s v="Yasmin Souza"/>
    <n v="10"/>
    <n v="445.44600000000003"/>
    <n v="317.41800000000001"/>
    <n v="1280.28"/>
    <n v="4454.46"/>
  </r>
  <r>
    <n v="300"/>
    <d v="2025-06-04T00:00:00"/>
    <s v="Smartphone Y"/>
    <x v="0"/>
    <s v="Sudeste"/>
    <s v="Agatha Leão"/>
    <n v="7"/>
    <n v="580.60400000000004"/>
    <n v="453.25200000000001"/>
    <n v="891.46400000000006"/>
    <n v="4064.2280000000001"/>
  </r>
  <r>
    <n v="277"/>
    <d v="2025-05-10T00:00:00"/>
    <s v="Notebook X"/>
    <x v="4"/>
    <s v="Centro-Oeste"/>
    <s v="Bento Azevedo"/>
    <n v="7"/>
    <n v="305.63200000000001"/>
    <n v="178.77799999999999"/>
    <n v="887.97799999999995"/>
    <n v="2139.424"/>
  </r>
  <r>
    <n v="198"/>
    <d v="2025-08-26T00:00:00"/>
    <s v="Notebook X"/>
    <x v="2"/>
    <s v="Norte"/>
    <s v="Maria Isis Azevedo"/>
    <n v="10"/>
    <n v="589.27200000000005"/>
    <n v="464.65199999999999"/>
    <n v="1246.2"/>
    <n v="5892.72"/>
  </r>
  <r>
    <n v="245"/>
    <d v="2025-01-02T00:00:00"/>
    <s v="Tablet Z"/>
    <x v="1"/>
    <s v="Nordeste"/>
    <s v="Bento Mendes"/>
    <n v="9"/>
    <n v="553.02800000000002"/>
    <n v="429.46800000000002"/>
    <n v="1112.04"/>
    <n v="4977.2520000000004"/>
  </r>
  <r>
    <n v="116"/>
    <d v="2024-12-12T00:00:00"/>
    <s v="SSD H"/>
    <x v="0"/>
    <s v="Centro-Oeste"/>
    <s v="Agatha Leão"/>
    <n v="6"/>
    <n v="448.41399999999999"/>
    <n v="325.84800000000001"/>
    <n v="735.39599999999996"/>
    <n v="2690.4839999999999"/>
  </r>
  <r>
    <n v="158"/>
    <d v="2025-06-05T00:00:00"/>
    <s v="Mouse C"/>
    <x v="3"/>
    <s v="Norte"/>
    <s v="João Pedro Mendes"/>
    <n v="8"/>
    <n v="518.71799999999996"/>
    <n v="398.22"/>
    <n v="963.98400000000004"/>
    <n v="4149.7439999999997"/>
  </r>
  <r>
    <n v="172"/>
    <d v="2025-11-02T00:00:00"/>
    <s v="Webcam D"/>
    <x v="1"/>
    <s v="Sul"/>
    <s v="Yasmin Souza"/>
    <n v="5"/>
    <n v="388.38799999999998"/>
    <n v="268.13799999999998"/>
    <n v="601.25"/>
    <n v="1941.94"/>
  </r>
  <r>
    <n v="72"/>
    <d v="2025-09-03T00:00:00"/>
    <s v="Webcam D"/>
    <x v="0"/>
    <s v="Norte"/>
    <s v="Maria Isis Azevedo"/>
    <n v="10"/>
    <n v="519.75800000000004"/>
    <n v="401.39800000000002"/>
    <n v="1183.5999999999999"/>
    <n v="5197.58"/>
  </r>
  <r>
    <n v="69"/>
    <d v="2024-12-26T00:00:00"/>
    <s v="Tablet Z"/>
    <x v="0"/>
    <s v="Norte"/>
    <s v="Yasmin Souza"/>
    <n v="9"/>
    <n v="568.68200000000002"/>
    <n v="450.75200000000001"/>
    <n v="1061.3699999999999"/>
    <n v="5118.1379999999999"/>
  </r>
  <r>
    <n v="120"/>
    <d v="2025-07-19T00:00:00"/>
    <s v="Smartphone Y"/>
    <x v="4"/>
    <s v="Norte"/>
    <s v="Agatha Leão"/>
    <n v="10"/>
    <n v="362.25200000000001"/>
    <n v="244.40600000000001"/>
    <n v="1178.46"/>
    <n v="3622.52"/>
  </r>
  <r>
    <n v="299"/>
    <d v="2025-04-19T00:00:00"/>
    <s v="Monitor A"/>
    <x v="3"/>
    <s v="Sul"/>
    <s v="João Pedro Mendes"/>
    <n v="5"/>
    <n v="328.17200000000003"/>
    <n v="210.66"/>
    <n v="587.55999999999995"/>
    <n v="1640.86"/>
  </r>
  <r>
    <n v="156"/>
    <d v="2025-04-03T00:00:00"/>
    <s v="Mouse C"/>
    <x v="0"/>
    <s v="Nordeste"/>
    <s v="João Pedro Mendes"/>
    <n v="9"/>
    <n v="329.15"/>
    <n v="212.25"/>
    <n v="1052.0999999999999"/>
    <n v="2962.35"/>
  </r>
  <r>
    <n v="82"/>
    <d v="2025-03-05T00:00:00"/>
    <s v="Placa de Vídeo J"/>
    <x v="2"/>
    <s v="Nordeste"/>
    <s v="João Pedro Mendes"/>
    <n v="8"/>
    <n v="366.50799999999998"/>
    <n v="249.92"/>
    <n v="932.70399999999995"/>
    <n v="2932.0639999999999"/>
  </r>
  <r>
    <n v="272"/>
    <d v="2025-09-22T00:00:00"/>
    <s v="Smartphone Y"/>
    <x v="3"/>
    <s v="Nordeste"/>
    <s v="Yasmin Souza"/>
    <n v="4"/>
    <n v="267.12799999999999"/>
    <n v="150.608"/>
    <n v="466.08"/>
    <n v="1068.5119999999999"/>
  </r>
  <r>
    <n v="267"/>
    <d v="2025-06-24T00:00:00"/>
    <s v="Notebook X"/>
    <x v="2"/>
    <s v="Nordeste"/>
    <s v="João Pedro Mendes"/>
    <n v="8"/>
    <n v="296.19400000000002"/>
    <n v="181.684"/>
    <n v="916.08"/>
    <n v="2369.5520000000001"/>
  </r>
  <r>
    <n v="284"/>
    <d v="2025-09-09T00:00:00"/>
    <s v="Memória I"/>
    <x v="4"/>
    <s v="Nordeste"/>
    <s v="Agatha Leão"/>
    <n v="4"/>
    <n v="510.74599999999998"/>
    <n v="396.82799999999997"/>
    <n v="455.67200000000003"/>
    <n v="2042.9839999999999"/>
  </r>
  <r>
    <n v="185"/>
    <d v="2025-02-18T00:00:00"/>
    <s v="Notebook X"/>
    <x v="2"/>
    <s v="Nordeste"/>
    <s v="Yasmin Souza"/>
    <n v="10"/>
    <n v="533.80200000000002"/>
    <n v="419.97199999999998"/>
    <n v="1138.3"/>
    <n v="5338.02"/>
  </r>
  <r>
    <n v="211"/>
    <d v="2025-03-22T00:00:00"/>
    <s v="Tablet Z"/>
    <x v="2"/>
    <s v="Centro-Oeste"/>
    <s v="Sra. Olívia Pacheco"/>
    <n v="4"/>
    <n v="400.20800000000003"/>
    <n v="289.01400000000001"/>
    <n v="444.77600000000001"/>
    <n v="1600.8320000000001"/>
  </r>
  <r>
    <n v="209"/>
    <d v="2025-04-08T00:00:00"/>
    <s v="Smartphone Y"/>
    <x v="4"/>
    <s v="Norte"/>
    <s v="Yasmin Souza"/>
    <n v="1"/>
    <n v="256.53800000000001"/>
    <n v="148.07599999999999"/>
    <n v="108.462"/>
    <n v="256.53800000000001"/>
  </r>
  <r>
    <n v="294"/>
    <d v="2025-01-24T00:00:00"/>
    <s v="Smartphone Y"/>
    <x v="2"/>
    <s v="Norte"/>
    <s v="Hadassa Cardoso"/>
    <n v="7"/>
    <n v="453.82"/>
    <n v="345.54399999999998"/>
    <n v="757.93200000000002"/>
    <n v="3176.74"/>
  </r>
  <r>
    <n v="196"/>
    <d v="2025-09-03T00:00:00"/>
    <s v="Teclado B"/>
    <x v="4"/>
    <s v="Norte"/>
    <s v="Maria Isis Azevedo"/>
    <n v="3"/>
    <n v="259.42399999999998"/>
    <n v="152.41200000000001"/>
    <n v="321.036"/>
    <n v="778.27200000000005"/>
  </r>
  <r>
    <n v="146"/>
    <d v="2024-12-07T00:00:00"/>
    <s v="Tablet Z"/>
    <x v="3"/>
    <s v="Centro-Oeste"/>
    <s v="Hadassa Cardoso"/>
    <n v="3"/>
    <n v="419.01799999999997"/>
    <n v="313.84399999999999"/>
    <n v="315.52199999999999"/>
    <n v="1257.0540000000001"/>
  </r>
  <r>
    <n v="244"/>
    <d v="2025-07-11T00:00:00"/>
    <s v="Teclado B"/>
    <x v="3"/>
    <s v="Sudeste"/>
    <s v="Hadassa Cardoso"/>
    <n v="1"/>
    <n v="244.51"/>
    <n v="141.23400000000001"/>
    <n v="103.276"/>
    <n v="244.51"/>
  </r>
  <r>
    <n v="114"/>
    <d v="2025-05-05T00:00:00"/>
    <s v="Mouse C"/>
    <x v="4"/>
    <s v="Sudeste"/>
    <s v="Sra. Olívia Pacheco"/>
    <n v="3"/>
    <n v="345.38600000000002"/>
    <n v="244.256"/>
    <n v="303.39"/>
    <n v="1036.1579999999999"/>
  </r>
  <r>
    <n v="218"/>
    <d v="2025-08-22T00:00:00"/>
    <s v="Teclado B"/>
    <x v="4"/>
    <s v="Sul"/>
    <s v="Bento Azevedo"/>
    <n v="10"/>
    <n v="344.15600000000001"/>
    <n v="245.08799999999999"/>
    <n v="990.68"/>
    <n v="3441.56"/>
  </r>
  <r>
    <n v="45"/>
    <d v="2024-12-18T00:00:00"/>
    <s v="Processador K"/>
    <x v="4"/>
    <s v="Sudeste"/>
    <s v="Bento Azevedo"/>
    <n v="9"/>
    <n v="234.506"/>
    <n v="135.98599999999999"/>
    <n v="886.68"/>
    <n v="2110.5540000000001"/>
  </r>
  <r>
    <n v="291"/>
    <d v="2025-09-06T00:00:00"/>
    <s v="Fone E"/>
    <x v="2"/>
    <s v="Sul"/>
    <s v="Agatha Leão"/>
    <n v="8"/>
    <n v="227.69399999999999"/>
    <n v="130.97399999999999"/>
    <n v="773.76"/>
    <n v="1821.5519999999999"/>
  </r>
  <r>
    <n v="143"/>
    <d v="2025-03-19T00:00:00"/>
    <s v="Placa de Vídeo J"/>
    <x v="1"/>
    <s v="Centro-Oeste"/>
    <s v="Yago Sales"/>
    <n v="8"/>
    <n v="279.99400000000003"/>
    <n v="183.566"/>
    <n v="771.42399999999998"/>
    <n v="2239.9520000000002"/>
  </r>
  <r>
    <n v="91"/>
    <d v="2025-11-24T00:00:00"/>
    <s v="Tablet Z"/>
    <x v="4"/>
    <s v="Centro-Oeste"/>
    <s v="Maria Isis Azevedo"/>
    <n v="5"/>
    <n v="191.072"/>
    <n v="96.28"/>
    <n v="473.96"/>
    <n v="955.36"/>
  </r>
  <r>
    <n v="173"/>
    <d v="2025-08-08T00:00:00"/>
    <s v="Memória I"/>
    <x v="1"/>
    <s v="Nordeste"/>
    <s v="Bento Azevedo"/>
    <n v="7"/>
    <n v="302.392"/>
    <n v="210.58799999999999"/>
    <n v="642.62800000000004"/>
    <n v="2116.7440000000001"/>
  </r>
  <r>
    <n v="4"/>
    <d v="2025-08-19T00:00:00"/>
    <s v="Notebook X"/>
    <x v="1"/>
    <s v="Nordeste"/>
    <s v="Hadassa Cardoso"/>
    <n v="7"/>
    <n v="379.274"/>
    <n v="289.36200000000002"/>
    <n v="629.38400000000001"/>
    <n v="2654.9180000000001"/>
  </r>
  <r>
    <n v="200"/>
    <d v="2025-11-30T00:00:00"/>
    <s v="Placa de Vídeo J"/>
    <x v="4"/>
    <s v="Centro-Oeste"/>
    <s v="Maria Luiza Martins"/>
    <n v="9"/>
    <n v="401.59800000000001"/>
    <n v="312.34800000000001"/>
    <n v="803.25"/>
    <n v="3614.3820000000001"/>
  </r>
  <r>
    <n v="96"/>
    <d v="2025-08-29T00:00:00"/>
    <s v="Teclado B"/>
    <x v="4"/>
    <s v="Norte"/>
    <s v="Maria Isis Azevedo"/>
    <n v="5"/>
    <n v="184.79599999999999"/>
    <n v="96.22"/>
    <n v="442.88"/>
    <n v="923.98"/>
  </r>
  <r>
    <n v="168"/>
    <d v="2024-12-05T00:00:00"/>
    <s v="SSD H"/>
    <x v="1"/>
    <s v="Centro-Oeste"/>
    <s v="Bento Mendes"/>
    <n v="9"/>
    <n v="221.25"/>
    <n v="132.93199999999999"/>
    <n v="794.86199999999997"/>
    <n v="1991.25"/>
  </r>
  <r>
    <n v="287"/>
    <d v="2025-04-24T00:00:00"/>
    <s v="Placa de Vídeo J"/>
    <x v="1"/>
    <s v="Sul"/>
    <s v="Agatha Leão"/>
    <n v="3"/>
    <n v="175.38399999999999"/>
    <n v="89.927999999999997"/>
    <n v="256.36799999999999"/>
    <n v="526.15200000000004"/>
  </r>
  <r>
    <n v="110"/>
    <d v="2025-03-30T00:00:00"/>
    <s v="Teclado B"/>
    <x v="2"/>
    <s v="Sul"/>
    <s v="João Pedro Mendes"/>
    <n v="5"/>
    <n v="191.74799999999999"/>
    <n v="107.07599999999999"/>
    <n v="423.36"/>
    <n v="958.74"/>
  </r>
  <r>
    <n v="184"/>
    <d v="2025-09-30T00:00:00"/>
    <s v="Monitor A"/>
    <x v="0"/>
    <s v="Centro-Oeste"/>
    <s v="Agatha Leão"/>
    <n v="2"/>
    <n v="226.548"/>
    <n v="141.97399999999999"/>
    <n v="169.148"/>
    <n v="453.096"/>
  </r>
  <r>
    <n v="149"/>
    <d v="2025-03-22T00:00:00"/>
    <s v="Mouse C"/>
    <x v="0"/>
    <s v="Sudeste"/>
    <s v="Agatha Leão"/>
    <n v="2"/>
    <n v="383.91"/>
    <n v="299.80799999999999"/>
    <n v="168.20400000000001"/>
    <n v="767.82"/>
  </r>
  <r>
    <n v="21"/>
    <d v="2025-11-07T00:00:00"/>
    <s v="Smartphone Y"/>
    <x v="4"/>
    <s v="Sudeste"/>
    <s v="Hadassa Cardoso"/>
    <n v="4"/>
    <n v="372.72199999999998"/>
    <n v="289.738"/>
    <n v="331.93599999999998"/>
    <n v="1490.8879999999999"/>
  </r>
  <r>
    <n v="271"/>
    <d v="2025-09-24T00:00:00"/>
    <s v="Teclado B"/>
    <x v="3"/>
    <s v="Sudeste"/>
    <s v="Maria Luiza Martins"/>
    <n v="6"/>
    <n v="314.334"/>
    <n v="234.25399999999999"/>
    <n v="480.48"/>
    <n v="1886.0039999999999"/>
  </r>
  <r>
    <n v="139"/>
    <d v="2025-08-26T00:00:00"/>
    <s v="Webcam D"/>
    <x v="3"/>
    <s v="Sudeste"/>
    <s v="João Pedro Mendes"/>
    <n v="10"/>
    <n v="279.01"/>
    <n v="200.11"/>
    <n v="789"/>
    <n v="2790.1"/>
  </r>
  <r>
    <n v="154"/>
    <d v="2025-03-16T00:00:00"/>
    <s v="Memória I"/>
    <x v="1"/>
    <s v="Centro-Oeste"/>
    <s v="Hadassa Cardoso"/>
    <n v="2"/>
    <n v="223.77799999999999"/>
    <n v="145.11799999999999"/>
    <n v="157.32"/>
    <n v="447.55599999999998"/>
  </r>
  <r>
    <n v="7"/>
    <d v="2025-11-09T00:00:00"/>
    <s v="Impressora F"/>
    <x v="4"/>
    <s v="Norte"/>
    <s v="Bento Mendes"/>
    <n v="4"/>
    <n v="275.01400000000001"/>
    <n v="199.18799999999999"/>
    <n v="303.30399999999997"/>
    <n v="1100.056"/>
  </r>
  <r>
    <n v="117"/>
    <d v="2025-11-22T00:00:00"/>
    <s v="Fone E"/>
    <x v="3"/>
    <s v="Norte"/>
    <s v="Maria Luiza Martins"/>
    <n v="8"/>
    <n v="255.65"/>
    <n v="180.40600000000001"/>
    <n v="601.952"/>
    <n v="2045.2"/>
  </r>
  <r>
    <n v="174"/>
    <d v="2025-04-09T00:00:00"/>
    <s v="SSD H"/>
    <x v="2"/>
    <s v="Centro-Oeste"/>
    <s v="Bento Mendes"/>
    <n v="8"/>
    <n v="172.06800000000001"/>
    <n v="97.596000000000004"/>
    <n v="595.77599999999995"/>
    <n v="1376.5440000000001"/>
  </r>
  <r>
    <n v="240"/>
    <d v="2025-10-10T00:00:00"/>
    <s v="Impressora F"/>
    <x v="3"/>
    <s v="Centro-Oeste"/>
    <s v="João Pedro Mendes"/>
    <n v="5"/>
    <n v="155.268"/>
    <n v="82.293999999999997"/>
    <n v="364.87"/>
    <n v="776.34"/>
  </r>
  <r>
    <n v="262"/>
    <d v="2025-05-19T00:00:00"/>
    <s v="Notebook X"/>
    <x v="1"/>
    <s v="Centro-Oeste"/>
    <s v="Yasmin Souza"/>
    <n v="3"/>
    <n v="154.524"/>
    <n v="81.626000000000005"/>
    <n v="218.69399999999999"/>
    <n v="463.572"/>
  </r>
  <r>
    <n v="17"/>
    <d v="2025-10-31T00:00:00"/>
    <s v="Processador K"/>
    <x v="0"/>
    <s v="Nordeste"/>
    <s v="Yago Sales"/>
    <n v="10"/>
    <n v="226.61600000000001"/>
    <n v="153.774"/>
    <n v="728.42"/>
    <n v="2266.16"/>
  </r>
  <r>
    <n v="220"/>
    <d v="2025-03-31T00:00:00"/>
    <s v="Fone E"/>
    <x v="3"/>
    <s v="Sudeste"/>
    <s v="Hadassa Cardoso"/>
    <n v="4"/>
    <n v="201.10599999999999"/>
    <n v="129.51400000000001"/>
    <n v="286.36799999999999"/>
    <n v="804.42399999999998"/>
  </r>
  <r>
    <n v="246"/>
    <d v="2024-12-07T00:00:00"/>
    <s v="Teclado B"/>
    <x v="0"/>
    <s v="Sudeste"/>
    <s v="Maria Luiza Martins"/>
    <n v="7"/>
    <n v="237.404"/>
    <n v="167.06"/>
    <n v="492.40800000000002"/>
    <n v="1661.828"/>
  </r>
  <r>
    <n v="86"/>
    <d v="2025-05-22T00:00:00"/>
    <s v="SSD H"/>
    <x v="4"/>
    <s v="Nordeste"/>
    <s v="Bento Azevedo"/>
    <n v="8"/>
    <n v="228.214"/>
    <n v="158.28200000000001"/>
    <n v="559.45600000000002"/>
    <n v="1825.712"/>
  </r>
  <r>
    <n v="289"/>
    <d v="2025-03-20T00:00:00"/>
    <s v="Roteador G"/>
    <x v="1"/>
    <s v="Centro-Oeste"/>
    <s v="Sra. Olívia Pacheco"/>
    <n v="3"/>
    <n v="168.65199999999999"/>
    <n v="98.867999999999995"/>
    <n v="209.352"/>
    <n v="505.95600000000002"/>
  </r>
  <r>
    <n v="145"/>
    <d v="2025-07-05T00:00:00"/>
    <s v="Roteador G"/>
    <x v="4"/>
    <s v="Centro-Oeste"/>
    <s v="João Pedro Mendes"/>
    <n v="9"/>
    <n v="191.01"/>
    <n v="123.366"/>
    <n v="608.79600000000005"/>
    <n v="1719.09"/>
  </r>
  <r>
    <n v="6"/>
    <d v="2025-10-22T00:00:00"/>
    <s v="Monitor A"/>
    <x v="4"/>
    <s v="Sul"/>
    <s v="Yasmin Souza"/>
    <n v="10"/>
    <n v="216.89599999999999"/>
    <n v="153.03800000000001"/>
    <n v="638.58000000000004"/>
    <n v="2168.96"/>
  </r>
  <r>
    <n v="66"/>
    <d v="2025-04-24T00:00:00"/>
    <s v="Smartphone Y"/>
    <x v="2"/>
    <s v="Nordeste"/>
    <s v="Yago Sales"/>
    <n v="9"/>
    <n v="315.07"/>
    <n v="251.71799999999999"/>
    <n v="570.16800000000001"/>
    <n v="2835.63"/>
  </r>
  <r>
    <n v="41"/>
    <d v="2025-08-15T00:00:00"/>
    <s v="Mouse C"/>
    <x v="0"/>
    <s v="Centro-Oeste"/>
    <s v="Yago Sales"/>
    <n v="3"/>
    <n v="246.1"/>
    <n v="182.88399999999999"/>
    <n v="189.648"/>
    <n v="738.3"/>
  </r>
  <r>
    <n v="51"/>
    <d v="2025-09-29T00:00:00"/>
    <s v="Smartphone Y"/>
    <x v="4"/>
    <s v="Sul"/>
    <s v="Bento Mendes"/>
    <n v="3"/>
    <n v="251.87799999999999"/>
    <n v="191.428"/>
    <n v="181.35"/>
    <n v="755.63400000000001"/>
  </r>
  <r>
    <n v="258"/>
    <d v="2025-04-25T00:00:00"/>
    <s v="SSD H"/>
    <x v="3"/>
    <s v="Sudeste"/>
    <s v="Maria Isis Azevedo"/>
    <n v="5"/>
    <n v="193.22399999999999"/>
    <n v="139.08799999999999"/>
    <n v="270.68"/>
    <n v="966.12"/>
  </r>
  <r>
    <n v="39"/>
    <d v="2025-07-15T00:00:00"/>
    <s v="Notebook X"/>
    <x v="4"/>
    <s v="Centro-Oeste"/>
    <s v="Maria Isis Azevedo"/>
    <n v="10"/>
    <n v="261.81400000000002"/>
    <n v="209.21"/>
    <n v="526.04"/>
    <n v="2618.14"/>
  </r>
  <r>
    <n v="229"/>
    <d v="2025-06-17T00:00:00"/>
    <s v="Webcam D"/>
    <x v="1"/>
    <s v="Nordeste"/>
    <s v="Maria Luiza Martins"/>
    <n v="7"/>
    <n v="135.81"/>
    <n v="84.841999999999999"/>
    <n v="356.77600000000001"/>
    <n v="950.67"/>
  </r>
  <r>
    <n v="279"/>
    <d v="2025-03-19T00:00:00"/>
    <s v="Monitor A"/>
    <x v="0"/>
    <s v="Norte"/>
    <s v="João Pedro Mendes"/>
    <n v="5"/>
    <n v="128.65"/>
    <n v="78.052000000000007"/>
    <n v="252.99"/>
    <n v="643.25"/>
  </r>
  <r>
    <n v="54"/>
    <d v="2025-11-03T00:00:00"/>
    <s v="Notebook X"/>
    <x v="2"/>
    <s v="Sudeste"/>
    <s v="Maria Isis Azevedo"/>
    <n v="1"/>
    <n v="175.87200000000001"/>
    <n v="126.358"/>
    <n v="49.514000000000003"/>
    <n v="175.87200000000001"/>
  </r>
  <r>
    <n v="261"/>
    <d v="2025-02-27T00:00:00"/>
    <s v="Webcam D"/>
    <x v="1"/>
    <s v="Norte"/>
    <s v="Maria Isis Azevedo"/>
    <n v="3"/>
    <n v="127.066"/>
    <n v="80.251999999999995"/>
    <n v="140.44200000000001"/>
    <n v="381.19799999999998"/>
  </r>
  <r>
    <n v="135"/>
    <d v="2025-06-15T00:00:00"/>
    <s v="Impressora F"/>
    <x v="3"/>
    <s v="Centro-Oeste"/>
    <s v="Bento Mendes"/>
    <n v="8"/>
    <n v="151.52799999999999"/>
    <n v="105.524"/>
    <n v="368.03199999999998"/>
    <n v="1212.2239999999999"/>
  </r>
  <r>
    <n v="78"/>
    <d v="2025-09-29T00:00:00"/>
    <s v="Monitor A"/>
    <x v="1"/>
    <s v="Sul"/>
    <s v="João Pedro Mendes"/>
    <n v="1"/>
    <n v="199.13399999999999"/>
    <n v="155.934"/>
    <n v="43.2"/>
    <n v="199.13399999999999"/>
  </r>
  <r>
    <n v="155"/>
    <d v="2025-01-09T00:00:00"/>
    <s v="Webcam D"/>
    <x v="4"/>
    <s v="Sudeste"/>
    <s v="Bento Mendes"/>
    <n v="1"/>
    <n v="192.80600000000001"/>
    <n v="149.732"/>
    <n v="43.073999999999998"/>
    <n v="192.80600000000001"/>
  </r>
  <r>
    <n v="208"/>
    <d v="2025-07-10T00:00:00"/>
    <s v="Mouse C"/>
    <x v="3"/>
    <s v="Nordeste"/>
    <s v="Yasmin Souza"/>
    <n v="4"/>
    <n v="191.536"/>
    <n v="150.68600000000001"/>
    <n v="163.4"/>
    <n v="766.14400000000001"/>
  </r>
  <r>
    <n v="252"/>
    <d v="2025-02-02T00:00:00"/>
    <s v="Tablet Z"/>
    <x v="4"/>
    <s v="Norte"/>
    <s v="Bento Mendes"/>
    <n v="7"/>
    <n v="124.494"/>
    <n v="84.391999999999996"/>
    <n v="280.714"/>
    <n v="871.45799999999997"/>
  </r>
  <r>
    <n v="164"/>
    <d v="2025-07-08T00:00:00"/>
    <s v="Fone E"/>
    <x v="3"/>
    <s v="Nordeste"/>
    <s v="Bento Mendes"/>
    <n v="10"/>
    <n v="137.072"/>
    <n v="98.055999999999997"/>
    <n v="390.16"/>
    <n v="1370.72"/>
  </r>
  <r>
    <n v="237"/>
    <d v="2025-09-13T00:00:00"/>
    <s v="Memória I"/>
    <x v="1"/>
    <s v="Centro-Oeste"/>
    <s v="Sra. Olívia Pacheco"/>
    <n v="4"/>
    <n v="79.292000000000002"/>
    <n v="43.613999999999997"/>
    <n v="142.71199999999999"/>
    <n v="317.16800000000001"/>
  </r>
  <r>
    <n v="235"/>
    <d v="2025-10-09T00:00:00"/>
    <s v="Processador K"/>
    <x v="1"/>
    <s v="Norte"/>
    <s v="Sra. Olívia Pacheco"/>
    <n v="10"/>
    <n v="173.25"/>
    <n v="138.16"/>
    <n v="350.9"/>
    <n v="1732.5"/>
  </r>
  <r>
    <n v="222"/>
    <d v="2025-06-01T00:00:00"/>
    <s v="Roteador G"/>
    <x v="0"/>
    <s v="Centro-Oeste"/>
    <s v="Bento Azevedo"/>
    <n v="1"/>
    <n v="84.254000000000005"/>
    <n v="52.408000000000001"/>
    <n v="31.846"/>
    <n v="84.254000000000005"/>
  </r>
  <r>
    <n v="2"/>
    <d v="2025-10-18T00:00:00"/>
    <s v="Processador K"/>
    <x v="4"/>
    <s v="Sul"/>
    <s v="Maria Isis Azevedo"/>
    <n v="3"/>
    <n v="102.31"/>
    <n v="71.268000000000001"/>
    <n v="93.126000000000005"/>
    <n v="306.93"/>
  </r>
  <r>
    <n v="179"/>
    <d v="2025-07-01T00:00:00"/>
    <s v="Fone E"/>
    <x v="3"/>
    <s v="Nordeste"/>
    <s v="Hadassa Cardoso"/>
    <n v="3"/>
    <n v="148"/>
    <n v="118.104"/>
    <n v="89.688000000000002"/>
    <n v="444"/>
  </r>
  <r>
    <n v="281"/>
    <d v="2025-03-20T00:00:00"/>
    <s v="Tablet Z"/>
    <x v="3"/>
    <s v="Sudeste"/>
    <s v="João Pedro Mendes"/>
    <n v="1"/>
    <n v="135.21799999999999"/>
    <n v="105.386"/>
    <n v="29.832000000000001"/>
    <n v="135.21799999999999"/>
  </r>
  <r>
    <n v="71"/>
    <d v="2025-09-26T00:00:00"/>
    <s v="SSD H"/>
    <x v="4"/>
    <s v="Norte"/>
    <s v="Bento Azevedo"/>
    <n v="5"/>
    <n v="127.58"/>
    <n v="98.042000000000002"/>
    <n v="147.69"/>
    <n v="637.9"/>
  </r>
  <r>
    <n v="170"/>
    <d v="2025-05-01T00:00:00"/>
    <s v="Tablet Z"/>
    <x v="4"/>
    <s v="Sul"/>
    <s v="Yasmin Souza"/>
    <n v="10"/>
    <n v="135.65199999999999"/>
    <n v="106.816"/>
    <n v="288.36"/>
    <n v="1356.52"/>
  </r>
  <r>
    <n v="92"/>
    <d v="2025-06-22T00:00:00"/>
    <s v="Tablet Z"/>
    <x v="4"/>
    <s v="Norte"/>
    <s v="João Pedro Mendes"/>
    <n v="8"/>
    <n v="137.88200000000001"/>
    <n v="109.322"/>
    <n v="228.48"/>
    <n v="1103.056"/>
  </r>
  <r>
    <n v="256"/>
    <d v="2025-01-31T00:00:00"/>
    <s v="Mouse C"/>
    <x v="2"/>
    <s v="Sul"/>
    <s v="Bento Azevedo"/>
    <n v="7"/>
    <n v="114.88"/>
    <n v="86.492000000000004"/>
    <n v="198.71600000000001"/>
    <n v="804.16"/>
  </r>
  <r>
    <n v="175"/>
    <d v="2025-11-15T00:00:00"/>
    <s v="Notebook X"/>
    <x v="3"/>
    <s v="Sudeste"/>
    <s v="Bento Azevedo"/>
    <n v="3"/>
    <n v="85.2"/>
    <n v="59.128"/>
    <n v="78.215999999999994"/>
    <n v="255.6"/>
  </r>
  <r>
    <n v="137"/>
    <d v="2025-11-07T00:00:00"/>
    <s v="Tablet Z"/>
    <x v="4"/>
    <s v="Sudeste"/>
    <s v="Yasmin Souza"/>
    <n v="6"/>
    <n v="102.592"/>
    <n v="76.861999999999995"/>
    <n v="154.38"/>
    <n v="615.55200000000002"/>
  </r>
  <r>
    <n v="115"/>
    <d v="2025-02-10T00:00:00"/>
    <s v="Teclado B"/>
    <x v="0"/>
    <s v="Sul"/>
    <s v="Yago Sales"/>
    <n v="9"/>
    <n v="115.69199999999999"/>
    <n v="90.215999999999994"/>
    <n v="229.28399999999999"/>
    <n v="1041.2280000000001"/>
  </r>
  <r>
    <n v="34"/>
    <d v="2025-04-11T00:00:00"/>
    <s v="Impressora F"/>
    <x v="0"/>
    <s v="Centro-Oeste"/>
    <s v="Agatha Leão"/>
    <n v="3"/>
    <n v="59.41"/>
    <n v="34.218000000000004"/>
    <n v="75.575999999999993"/>
    <n v="178.23"/>
  </r>
  <r>
    <n v="76"/>
    <d v="2025-04-05T00:00:00"/>
    <s v="Webcam D"/>
    <x v="0"/>
    <s v="Norte"/>
    <s v="João Pedro Mendes"/>
    <n v="9"/>
    <n v="49.533999999999999"/>
    <n v="25.324000000000002"/>
    <n v="217.89"/>
    <n v="445.80599999999998"/>
  </r>
  <r>
    <n v="104"/>
    <d v="2024-12-04T00:00:00"/>
    <s v="Tablet Z"/>
    <x v="3"/>
    <s v="Norte"/>
    <s v="Bento Azevedo"/>
    <n v="1"/>
    <n v="50.241999999999997"/>
    <n v="26.658000000000001"/>
    <n v="23.584"/>
    <n v="50.241999999999997"/>
  </r>
  <r>
    <n v="33"/>
    <d v="2025-08-19T00:00:00"/>
    <s v="Monitor A"/>
    <x v="1"/>
    <s v="Norte"/>
    <s v="Agatha Leão"/>
    <n v="1"/>
    <n v="52.31"/>
    <n v="29.341999999999999"/>
    <n v="22.968"/>
    <n v="52.31"/>
  </r>
  <r>
    <n v="204"/>
    <d v="2025-11-30T00:00:00"/>
    <s v="Mouse C"/>
    <x v="2"/>
    <s v="Centro-Oeste"/>
    <s v="Yago Sales"/>
    <n v="10"/>
    <n v="68.63"/>
    <n v="47.341999999999999"/>
    <n v="212.88"/>
    <n v="686.3"/>
  </r>
  <r>
    <n v="12"/>
    <d v="2025-04-24T00:00:00"/>
    <s v="Smartphone Y"/>
    <x v="3"/>
    <s v="Sudeste"/>
    <s v="Yago Sales"/>
    <n v="4"/>
    <n v="47.926000000000002"/>
    <n v="26.888000000000002"/>
    <n v="84.152000000000001"/>
    <n v="191.70400000000001"/>
  </r>
  <r>
    <n v="249"/>
    <d v="2025-08-15T00:00:00"/>
    <s v="Notebook X"/>
    <x v="4"/>
    <s v="Nordeste"/>
    <s v="Maria Isis Azevedo"/>
    <n v="3"/>
    <n v="44.04"/>
    <n v="23.946000000000002"/>
    <n v="60.281999999999996"/>
    <n v="132.12"/>
  </r>
  <r>
    <n v="230"/>
    <d v="2025-07-21T00:00:00"/>
    <s v="Notebook X"/>
    <x v="1"/>
    <s v="Sudeste"/>
    <s v="Bento Mendes"/>
    <n v="9"/>
    <n v="69.658000000000001"/>
    <n v="50.694000000000003"/>
    <n v="170.67599999999999"/>
    <n v="626.92200000000003"/>
  </r>
  <r>
    <n v="263"/>
    <d v="2025-09-24T00:00:00"/>
    <s v="Teclado B"/>
    <x v="0"/>
    <s v="Norte"/>
    <s v="Hadassa Cardoso"/>
    <n v="6"/>
    <n v="65"/>
    <n v="46.936"/>
    <n v="108.384"/>
    <n v="390"/>
  </r>
  <r>
    <n v="161"/>
    <d v="2025-05-07T00:00:00"/>
    <s v="Processador K"/>
    <x v="4"/>
    <s v="Centro-Oeste"/>
    <s v="Maria Isis Azevedo"/>
    <n v="10"/>
    <n v="85.22"/>
    <n v="67.867999999999995"/>
    <n v="173.52"/>
    <n v="852.2"/>
  </r>
  <r>
    <n v="148"/>
    <d v="2025-11-15T00:00:00"/>
    <s v="Memória I"/>
    <x v="0"/>
    <s v="Sul"/>
    <s v="Bento Mendes"/>
    <n v="10"/>
    <n v="36.845999999999997"/>
    <n v="20.806000000000001"/>
    <n v="160.4"/>
    <n v="368.46"/>
  </r>
  <r>
    <n v="147"/>
    <d v="2025-06-05T00:00:00"/>
    <s v="Mouse C"/>
    <x v="0"/>
    <s v="Centro-Oeste"/>
    <s v="Yago Sales"/>
    <n v="7"/>
    <n v="66.042000000000002"/>
    <n v="50.292000000000002"/>
    <n v="110.25"/>
    <n v="462.29399999999998"/>
  </r>
  <r>
    <n v="134"/>
    <d v="2025-01-23T00:00:00"/>
    <s v="Teclado B"/>
    <x v="2"/>
    <s v="Sudeste"/>
    <s v="Bento Mendes"/>
    <n v="4"/>
    <n v="69.87"/>
    <n v="55.795999999999999"/>
    <n v="56.295999999999999"/>
    <n v="279.48"/>
  </r>
  <r>
    <n v="100"/>
    <d v="2025-08-23T00:00:00"/>
    <s v="Processador K"/>
    <x v="4"/>
    <s v="Sul"/>
    <s v="Hadassa Cardoso"/>
    <n v="6"/>
    <n v="35.738"/>
    <n v="22.064"/>
    <n v="82.043999999999997"/>
    <n v="214.428"/>
  </r>
  <r>
    <n v="88"/>
    <d v="2025-10-02T00:00:00"/>
    <s v="Smartphone Y"/>
    <x v="4"/>
    <s v="Centro-Oeste"/>
    <s v="Bento Mendes"/>
    <n v="5"/>
    <n v="44.816000000000003"/>
    <n v="33.031999999999996"/>
    <n v="58.92"/>
    <n v="224.08"/>
  </r>
  <r>
    <n v="43"/>
    <d v="2025-01-26T00:00:00"/>
    <s v="Fone E"/>
    <x v="3"/>
    <s v="Norte"/>
    <s v="Maria Luiza Martins"/>
    <n v="6"/>
    <n v="34.902000000000001"/>
    <n v="24.448"/>
    <n v="62.723999999999997"/>
    <n v="209.41200000000001"/>
  </r>
  <r>
    <n v="58"/>
    <d v="2025-11-27T00:00:00"/>
    <s v="Teclado B"/>
    <x v="0"/>
    <s v="Sul"/>
    <s v="Bento Mendes"/>
    <n v="1"/>
    <n v="37.222000000000001"/>
    <n v="27.738"/>
    <n v="9.484"/>
    <n v="37.222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DFDB3-78DE-4C52-9AAC-BEC9C5F30BE8}" name="Tabela dinâmica10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20:J26" firstHeaderRow="0" firstDataRow="1" firstDataCol="1"/>
  <pivotFields count="11">
    <pivotField showAll="0"/>
    <pivotField numFmtId="14"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" fld="10" baseField="0" baseItem="0"/>
    <dataField name="Soma de Lucro" fld="9" baseField="0" baseItem="0"/>
  </dataFields>
  <formats count="12">
    <format dxfId="388">
      <pivotArea type="all" dataOnly="0" outline="0" fieldPosition="0"/>
    </format>
    <format dxfId="389">
      <pivotArea outline="0" collapsedLevelsAreSubtotals="1" fieldPosition="0"/>
    </format>
    <format dxfId="390">
      <pivotArea field="3" type="button" dataOnly="0" labelOnly="1" outline="0" axis="axisRow" fieldPosition="0"/>
    </format>
    <format dxfId="391">
      <pivotArea dataOnly="0" labelOnly="1" fieldPosition="0">
        <references count="1">
          <reference field="3" count="0"/>
        </references>
      </pivotArea>
    </format>
    <format dxfId="392">
      <pivotArea dataOnly="0" labelOnly="1" grandRow="1" outline="0" fieldPosition="0"/>
    </format>
    <format dxfId="3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4">
      <pivotArea type="all" dataOnly="0" outline="0" fieldPosition="0"/>
    </format>
    <format dxfId="395">
      <pivotArea outline="0" collapsedLevelsAreSubtotals="1" fieldPosition="0"/>
    </format>
    <format dxfId="3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7">
      <pivotArea field="3" type="button" dataOnly="0" labelOnly="1" outline="0" axis="axisRow" fieldPosition="0"/>
    </format>
    <format dxfId="398">
      <pivotArea dataOnly="0" labelOnly="1" fieldPosition="0">
        <references count="1">
          <reference field="3" count="0"/>
        </references>
      </pivotArea>
    </format>
    <format dxfId="399">
      <pivotArea dataOnly="0" labelOnly="1" grandRow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4C643-C456-452B-85F9-1A153AA86D87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ategoria">
  <location ref="E21:F27" firstHeaderRow="1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7">
        <item x="4"/>
        <item x="1"/>
        <item x="0"/>
        <item x="3"/>
        <item x="2"/>
        <item h="1"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Vendedor" fld="5" subtotal="count" baseField="0" baseItem="0"/>
  </dataFields>
  <formats count="14">
    <format dxfId="565">
      <pivotArea outline="0" collapsedLevelsAreSubtotals="1" fieldPosition="0"/>
    </format>
    <format dxfId="564">
      <pivotArea dataOnly="0" labelOnly="1" outline="0" axis="axisValues" fieldPosition="0"/>
    </format>
    <format dxfId="563">
      <pivotArea type="all" dataOnly="0" outline="0" fieldPosition="0"/>
    </format>
    <format dxfId="562">
      <pivotArea outline="0" collapsedLevelsAreSubtotals="1" fieldPosition="0"/>
    </format>
    <format dxfId="561">
      <pivotArea dataOnly="0" labelOnly="1" fieldPosition="0">
        <references count="1">
          <reference field="3" count="0"/>
        </references>
      </pivotArea>
    </format>
    <format dxfId="560">
      <pivotArea dataOnly="0" labelOnly="1" grandRow="1" outline="0" fieldPosition="0"/>
    </format>
    <format dxfId="559">
      <pivotArea collapsedLevelsAreSubtotals="1" fieldPosition="0">
        <references count="1">
          <reference field="3" count="0"/>
        </references>
      </pivotArea>
    </format>
    <format dxfId="558">
      <pivotArea dataOnly="0" labelOnly="1" fieldPosition="0">
        <references count="1">
          <reference field="3" count="0"/>
        </references>
      </pivotArea>
    </format>
    <format dxfId="557">
      <pivotArea grandRow="1" outline="0" collapsedLevelsAreSubtotals="1" fieldPosition="0"/>
    </format>
    <format dxfId="556">
      <pivotArea dataOnly="0" labelOnly="1" grandRow="1" outline="0" fieldPosition="0"/>
    </format>
    <format dxfId="555">
      <pivotArea field="3" type="button" dataOnly="0" labelOnly="1" outline="0" axis="axisRow" fieldPosition="0"/>
    </format>
    <format dxfId="554">
      <pivotArea dataOnly="0" labelOnly="1" outline="0" axis="axisValues" fieldPosition="0"/>
    </format>
    <format dxfId="553">
      <pivotArea field="3" type="button" dataOnly="0" labelOnly="1" outline="0" axis="axisRow" fieldPosition="0"/>
    </format>
    <format dxfId="552">
      <pivotArea dataOnly="0" labelOnly="1" outline="0" axis="axisValues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D8404-B544-44CC-A111-41D3822CB37A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egião">
  <location ref="H12:J18" firstHeaderRow="0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7">
        <item x="1"/>
        <item x="3"/>
        <item x="0"/>
        <item x="4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6" baseField="0" baseItem="0"/>
    <dataField name="Soma de Lucro" fld="9" baseField="0" baseItem="0" numFmtId="2"/>
  </dataFields>
  <formats count="14">
    <format dxfId="579">
      <pivotArea type="all" dataOnly="0" outline="0" fieldPosition="0"/>
    </format>
    <format dxfId="578">
      <pivotArea outline="0" collapsedLevelsAreSubtotals="1" fieldPosition="0"/>
    </format>
    <format dxfId="577">
      <pivotArea dataOnly="0" labelOnly="1" fieldPosition="0">
        <references count="1">
          <reference field="4" count="0"/>
        </references>
      </pivotArea>
    </format>
    <format dxfId="576">
      <pivotArea dataOnly="0" labelOnly="1" grandRow="1" outline="0" fieldPosition="0"/>
    </format>
    <format dxfId="575">
      <pivotArea dataOnly="0" labelOnly="1" outline="0" axis="axisValues" fieldPosition="0"/>
    </format>
    <format dxfId="574">
      <pivotArea collapsedLevelsAreSubtotals="1" fieldPosition="0">
        <references count="1">
          <reference field="4" count="0"/>
        </references>
      </pivotArea>
    </format>
    <format dxfId="573">
      <pivotArea dataOnly="0" labelOnly="1" fieldPosition="0">
        <references count="1">
          <reference field="4" count="0"/>
        </references>
      </pivotArea>
    </format>
    <format dxfId="572">
      <pivotArea dataOnly="0" grandRow="1" axis="axisRow" fieldPosition="0"/>
    </format>
    <format dxfId="5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9">
      <pivotArea field="4" type="button" dataOnly="0" labelOnly="1" outline="0" axis="axisRow" fieldPosition="0"/>
    </format>
    <format dxfId="5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7">
      <pivotArea field="4" type="button" dataOnly="0" labelOnly="1" outline="0" axis="axisRow" fieldPosition="0"/>
    </format>
    <format dxfId="5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F705F-9C8E-483E-85E3-15DD433187CF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Produto">
  <location ref="E12:F18" firstHeaderRow="1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measureFilter="1" sortType="descending">
      <items count="16">
        <item x="14"/>
        <item x="2"/>
        <item x="13"/>
        <item x="8"/>
        <item x="9"/>
        <item x="11"/>
        <item x="1"/>
        <item x="12"/>
        <item x="3"/>
        <item x="4"/>
        <item x="6"/>
        <item x="10"/>
        <item x="7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12"/>
    </i>
    <i>
      <x v="3"/>
    </i>
    <i>
      <x v="6"/>
    </i>
    <i>
      <x v="14"/>
    </i>
    <i>
      <x v="4"/>
    </i>
    <i t="grand">
      <x/>
    </i>
  </rowItems>
  <colItems count="1">
    <i/>
  </colItems>
  <dataFields count="1">
    <dataField name="Soma de Lucro" fld="9" baseField="0" baseItem="0"/>
  </dataFields>
  <formats count="14">
    <format dxfId="593">
      <pivotArea collapsedLevelsAreSubtotals="1" fieldPosition="0">
        <references count="1">
          <reference field="2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92">
      <pivotArea type="all" dataOnly="0" outline="0" fieldPosition="0"/>
    </format>
    <format dxfId="591">
      <pivotArea outline="0" collapsedLevelsAreSubtotals="1" fieldPosition="0"/>
    </format>
    <format dxfId="590">
      <pivotArea dataOnly="0" labelOnly="1" fieldPosition="0">
        <references count="1">
          <reference field="2" count="0"/>
        </references>
      </pivotArea>
    </format>
    <format dxfId="589">
      <pivotArea dataOnly="0" labelOnly="1" grandRow="1" outline="0" fieldPosition="0"/>
    </format>
    <format dxfId="588">
      <pivotArea collapsedLevelsAreSubtotals="1" fieldPosition="0">
        <references count="1">
          <reference field="2" count="0"/>
        </references>
      </pivotArea>
    </format>
    <format dxfId="587">
      <pivotArea dataOnly="0" labelOnly="1" fieldPosition="0">
        <references count="1">
          <reference field="2" count="0"/>
        </references>
      </pivotArea>
    </format>
    <format dxfId="586">
      <pivotArea collapsedLevelsAreSubtotals="1" fieldPosition="0">
        <references count="1">
          <reference field="2" count="0"/>
        </references>
      </pivotArea>
    </format>
    <format dxfId="585">
      <pivotArea dataOnly="0" labelOnly="1" fieldPosition="0">
        <references count="1">
          <reference field="2" count="0"/>
        </references>
      </pivotArea>
    </format>
    <format dxfId="584">
      <pivotArea dataOnly="0" grandRow="1" axis="axisRow" fieldPosition="0"/>
    </format>
    <format dxfId="583">
      <pivotArea field="2" type="button" dataOnly="0" labelOnly="1" outline="0" axis="axisRow" fieldPosition="0"/>
    </format>
    <format dxfId="582">
      <pivotArea dataOnly="0" labelOnly="1" outline="0" axis="axisValues" fieldPosition="0"/>
    </format>
    <format dxfId="581">
      <pivotArea field="2" type="button" dataOnly="0" labelOnly="1" outline="0" axis="axisRow" fieldPosition="0"/>
    </format>
    <format dxfId="580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A743D-C39E-46D2-9BF5-7CF9CE076733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P20:U35" firstHeaderRow="0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6">
        <item x="5"/>
        <item x="0"/>
        <item x="7"/>
        <item x="10"/>
        <item x="6"/>
        <item x="4"/>
        <item x="3"/>
        <item x="12"/>
        <item x="1"/>
        <item x="11"/>
        <item x="9"/>
        <item x="8"/>
        <item x="13"/>
        <item x="2"/>
        <item h="1" x="14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Quantidade" fld="6" baseField="0" baseItem="0"/>
    <dataField name="Soma de Custo_Unitario" fld="8" baseField="0" baseItem="0"/>
    <dataField name="Soma de Preco_Unitario" fld="7" baseField="0" baseItem="0"/>
    <dataField name="Soma de Receita" fld="10" baseField="0" baseItem="0"/>
    <dataField name="Soma de Lucro" fld="9" baseField="0" baseItem="0"/>
  </dataFields>
  <formats count="28">
    <format dxfId="400">
      <pivotArea type="all" dataOnly="0" outline="0" fieldPosition="0"/>
    </format>
    <format dxfId="401">
      <pivotArea outline="0" collapsedLevelsAreSubtotals="1" fieldPosition="0"/>
    </format>
    <format dxfId="402">
      <pivotArea field="2" type="button" dataOnly="0" labelOnly="1" outline="0" axis="axisRow" fieldPosition="0"/>
    </format>
    <format dxfId="403">
      <pivotArea dataOnly="0" labelOnly="1" fieldPosition="0">
        <references count="1">
          <reference field="2" count="0"/>
        </references>
      </pivotArea>
    </format>
    <format dxfId="404">
      <pivotArea dataOnly="0" labelOnly="1" grandRow="1" outline="0" fieldPosition="0"/>
    </format>
    <format dxfId="405">
      <pivotArea type="all" dataOnly="0" outline="0" fieldPosition="0"/>
    </format>
    <format dxfId="406">
      <pivotArea outline="0" collapsedLevelsAreSubtotals="1" fieldPosition="0"/>
    </format>
    <format dxfId="407">
      <pivotArea field="2" type="button" dataOnly="0" labelOnly="1" outline="0" axis="axisRow" fieldPosition="0"/>
    </format>
    <format dxfId="408">
      <pivotArea dataOnly="0" labelOnly="1" fieldPosition="0">
        <references count="1">
          <reference field="2" count="0"/>
        </references>
      </pivotArea>
    </format>
    <format dxfId="409">
      <pivotArea dataOnly="0" labelOnly="1" grandRow="1" outline="0" fieldPosition="0"/>
    </format>
    <format dxfId="4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12">
      <pivotArea collapsedLevelsAreSubtotals="1" fieldPosition="0">
        <references count="2">
          <reference field="4294967294" count="1" selected="0">
            <x v="4"/>
          </reference>
          <reference field="2" count="0"/>
        </references>
      </pivotArea>
    </format>
    <format dxfId="413">
      <pivotArea collapsedLevelsAreSubtotals="1" fieldPosition="0">
        <references count="2">
          <reference field="4294967294" count="1" selected="0">
            <x v="3"/>
          </reference>
          <reference field="2" count="0"/>
        </references>
      </pivotArea>
    </format>
    <format dxfId="414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415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416">
      <pivotArea dataOnly="0" labelOnly="1" fieldPosition="0">
        <references count="1">
          <reference field="2" count="0"/>
        </references>
      </pivotArea>
    </format>
    <format dxfId="417">
      <pivotArea field="2" type="button" dataOnly="0" labelOnly="1" outline="0" axis="axisRow" fieldPosition="0"/>
    </format>
    <format dxfId="418">
      <pivotArea dataOnly="0" labelOnly="1" fieldPosition="0">
        <references count="1">
          <reference field="2" count="0"/>
        </references>
      </pivotArea>
    </format>
    <format dxfId="419">
      <pivotArea dataOnly="0" labelOnly="1" grandRow="1" outline="0" fieldPosition="0"/>
    </format>
    <format dxfId="420">
      <pivotArea field="2" type="button" dataOnly="0" labelOnly="1" outline="0" axis="axisRow" fieldPosition="0"/>
    </format>
    <format dxfId="4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22">
      <pivotArea field="2" type="button" dataOnly="0" labelOnly="1" outline="0" axis="axisRow" fieldPosition="0"/>
    </format>
    <format dxfId="4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5">
      <pivotArea field="2" type="button" dataOnly="0" labelOnly="1" outline="0" axis="axisRow" fieldPosition="0"/>
    </format>
    <format dxfId="42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27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5">
    <conditionalFormat priority="5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C0BC6-B2BD-43FB-BE22-C977743D5450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0:N37" firstHeaderRow="1" firstDataRow="3" firstDataCol="1"/>
  <pivotFields count="13">
    <pivotField dataField="1" showAll="0"/>
    <pivotField showAll="0"/>
    <pivotField axis="axisRow" showAll="0">
      <items count="16">
        <item x="5"/>
        <item x="0"/>
        <item x="7"/>
        <item x="10"/>
        <item x="6"/>
        <item x="4"/>
        <item x="3"/>
        <item x="12"/>
        <item x="1"/>
        <item x="11"/>
        <item x="9"/>
        <item x="8"/>
        <item x="13"/>
        <item x="2"/>
        <item h="1" x="14"/>
        <item t="default"/>
      </items>
    </pivotField>
    <pivotField showAll="0"/>
    <pivotField axis="axisCol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oma de Lucro" fld="9" baseField="0" baseItem="0"/>
    <dataField name="Soma de ID_Venda" fld="0" baseField="0" baseItem="0"/>
  </dataFields>
  <formats count="60">
    <format dxfId="428">
      <pivotArea type="all" dataOnly="0" outline="0" fieldPosition="0"/>
    </format>
    <format dxfId="429">
      <pivotArea type="all" dataOnly="0" outline="0" fieldPosition="0"/>
    </format>
    <format dxfId="430">
      <pivotArea dataOnly="0" labelOnly="1" fieldPosition="0">
        <references count="1">
          <reference field="4" count="5">
            <x v="0"/>
            <x v="1"/>
            <x v="2"/>
            <x v="3"/>
            <x v="4"/>
          </reference>
        </references>
      </pivotArea>
    </format>
    <format dxfId="43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3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43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435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43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3"/>
          </reference>
        </references>
      </pivotArea>
    </format>
    <format dxfId="43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  <format dxfId="438">
      <pivotArea dataOnly="0" labelOnly="1" offset="A256" fieldPosition="0">
        <references count="1">
          <reference field="4" count="1">
            <x v="0"/>
          </reference>
        </references>
      </pivotArea>
    </format>
    <format dxfId="439">
      <pivotArea dataOnly="0" labelOnly="1" offset="IV256" fieldPosition="0">
        <references count="1">
          <reference field="4" count="1">
            <x v="0"/>
          </reference>
        </references>
      </pivotArea>
    </format>
    <format dxfId="440">
      <pivotArea dataOnly="0" labelOnly="1" fieldPosition="0">
        <references count="1">
          <reference field="4" count="1">
            <x v="2"/>
          </reference>
        </references>
      </pivotArea>
    </format>
    <format dxfId="441">
      <pivotArea dataOnly="0" labelOnly="1" fieldPosition="0">
        <references count="1">
          <reference field="4" count="1">
            <x v="4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443">
      <pivotArea dataOnly="0" labelOnly="1" fieldPosition="0">
        <references count="1">
          <reference field="4" count="1">
            <x v="0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445">
      <pivotArea dataOnly="0" labelOnly="1" fieldPosition="0">
        <references count="1">
          <reference field="4" count="1">
            <x v="2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  <format dxfId="447">
      <pivotArea dataOnly="0" labelOnly="1" fieldPosition="0">
        <references count="1">
          <reference field="4" count="1">
            <x v="4"/>
          </reference>
        </references>
      </pivotArea>
    </format>
    <format dxfId="448">
      <pivotArea type="all" dataOnly="0" outline="0" fieldPosition="0"/>
    </format>
    <format dxfId="449">
      <pivotArea type="origin" dataOnly="0" labelOnly="1" outline="0" offset="A1" fieldPosition="0"/>
    </format>
    <format dxfId="450">
      <pivotArea field="4" type="button" dataOnly="0" labelOnly="1" outline="0" axis="axisCol" fieldPosition="0"/>
    </format>
    <format dxfId="451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3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454">
      <pivotArea dataOnly="0" labelOnly="1" offset="IV256" fieldPosition="0">
        <references count="1">
          <reference field="4" count="1">
            <x v="0"/>
          </reference>
        </references>
      </pivotArea>
    </format>
    <format dxfId="455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456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1"/>
          </reference>
        </references>
      </pivotArea>
    </format>
    <format dxfId="457">
      <pivotArea dataOnly="0" labelOnly="1" offset="IV256" fieldPosition="0">
        <references count="1">
          <reference field="4" count="1">
            <x v="1"/>
          </reference>
        </references>
      </pivotArea>
    </format>
    <format dxfId="458">
      <pivotArea dataOnly="0" labelOnly="1" outline="0" fieldPosition="0">
        <references count="2">
          <reference field="4294967294" count="1">
            <x v="1"/>
          </reference>
          <reference field="4" count="1" selected="0">
            <x v="1"/>
          </reference>
        </references>
      </pivotArea>
    </format>
    <format dxfId="459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2"/>
          </reference>
        </references>
      </pivotArea>
    </format>
    <format dxfId="460">
      <pivotArea dataOnly="0" labelOnly="1" offset="IV256" fieldPosition="0">
        <references count="1">
          <reference field="4" count="1">
            <x v="2"/>
          </reference>
        </references>
      </pivotArea>
    </format>
    <format dxfId="461">
      <pivotArea dataOnly="0" labelOnly="1" outline="0" fieldPosition="0">
        <references count="2">
          <reference field="4294967294" count="1">
            <x v="1"/>
          </reference>
          <reference field="4" count="1" selected="0">
            <x v="2"/>
          </reference>
        </references>
      </pivotArea>
    </format>
    <format dxfId="462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3"/>
          </reference>
        </references>
      </pivotArea>
    </format>
    <format dxfId="463">
      <pivotArea dataOnly="0" labelOnly="1" offset="IV256" fieldPosition="0">
        <references count="1">
          <reference field="4" count="1">
            <x v="3"/>
          </reference>
        </references>
      </pivotArea>
    </format>
    <format dxfId="464">
      <pivotArea dataOnly="0" labelOnly="1" outline="0" fieldPosition="0">
        <references count="2">
          <reference field="4294967294" count="1">
            <x v="1"/>
          </reference>
          <reference field="4" count="1" selected="0">
            <x v="3"/>
          </reference>
        </references>
      </pivotArea>
    </format>
    <format dxfId="465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4"/>
          </reference>
        </references>
      </pivotArea>
    </format>
    <format dxfId="466">
      <pivotArea dataOnly="0" labelOnly="1" offset="IV256" fieldPosition="0">
        <references count="1">
          <reference field="4" count="1">
            <x v="4"/>
          </reference>
        </references>
      </pivotArea>
    </format>
    <format dxfId="467">
      <pivotArea dataOnly="0" labelOnly="1" outline="0" fieldPosition="0">
        <references count="2">
          <reference field="4294967294" count="1">
            <x v="1"/>
          </reference>
          <reference field="4" count="1" selected="0">
            <x v="4"/>
          </reference>
        </references>
      </pivotArea>
    </format>
    <format dxfId="468">
      <pivotArea field="2" grandCol="1" collapsedLevelsAreSubtotals="1" axis="axisRow" fieldPosition="0">
        <references count="2">
          <reference field="4294967294" count="1" selected="0">
            <x v="0"/>
          </reference>
          <reference field="2" count="0"/>
        </references>
      </pivotArea>
    </format>
    <format dxfId="469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7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4" type="button" dataOnly="0" labelOnly="1" outline="0" axis="axisCol" fieldPosition="0"/>
    </format>
    <format dxfId="54">
      <pivotArea field="-2" type="button" dataOnly="0" labelOnly="1" outline="0" axis="axisCol" fieldPosition="1"/>
    </format>
    <format dxfId="53">
      <pivotArea type="topRight" dataOnly="0" labelOnly="1" outline="0" fieldPosition="0"/>
    </format>
    <format dxfId="52">
      <pivotArea field="2" type="button" dataOnly="0" labelOnly="1" outline="0" axis="axisRow" fieldPosition="0"/>
    </format>
    <format dxfId="51">
      <pivotArea dataOnly="0" labelOnly="1" fieldPosition="0">
        <references count="1">
          <reference field="2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4" count="5">
            <x v="0"/>
            <x v="1"/>
            <x v="2"/>
            <x v="3"/>
            <x v="4"/>
          </reference>
        </references>
      </pivotArea>
    </format>
    <format dxfId="48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6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3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</formats>
  <conditionalFormats count="12">
    <conditionalFormat priority="1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0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1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2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3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4"/>
            </reference>
          </references>
        </pivotArea>
      </pivotAreas>
    </conditionalFormat>
    <conditionalFormat priority="13">
      <pivotAreas count="1">
        <pivotArea type="data" grandCol="1" collapsedLevelsAreSubtotals="1" fieldPosition="0">
          <references count="2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0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1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2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3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4"/>
            </reference>
          </references>
        </pivotArea>
      </pivotAreas>
    </conditionalFormat>
    <conditionalFormat priority="7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64C32-CBC5-4062-B92E-15914A8316F9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 rowHeaderCaption="Mês">
  <location ref="N3:O16" firstHeaderRow="1" firstDataRow="1" firstDataCol="1"/>
  <pivotFields count="13">
    <pivotField dataField="1"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Vendas" fld="0" baseField="1" baseItem="0"/>
  </dataFields>
  <formats count="14">
    <format dxfId="382">
      <pivotArea field="1" type="button" dataOnly="0" labelOnly="1" outline="0" axis="axisRow" fieldPosition="0"/>
    </format>
    <format dxfId="383">
      <pivotArea dataOnly="0" labelOnly="1" outline="0" axis="axisValues" fieldPosition="0"/>
    </format>
    <format dxfId="384">
      <pivotArea field="1" type="button" dataOnly="0" labelOnly="1" outline="0" axis="axisRow" fieldPosition="0"/>
    </format>
    <format dxfId="385">
      <pivotArea dataOnly="0" labelOnly="1" outline="0" axis="axisValues" fieldPosition="0"/>
    </format>
    <format dxfId="386">
      <pivotArea dataOnly="0" labelOnly="1" outline="0" axis="axisValues" fieldPosition="0"/>
    </format>
    <format dxfId="387">
      <pivotArea field="1" type="button" dataOnly="0" labelOnly="1" outline="0" axis="axisRow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B8861-A2D9-4BEF-B596-4EFFFC2241FC}" name="Tabela dinâ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G3:L18" firstHeaderRow="1" firstDataRow="3" firstDataCol="1"/>
  <pivotFields count="13"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16">
        <item x="5"/>
        <item x="0"/>
        <item x="7"/>
        <item x="10"/>
        <item x="6"/>
        <item x="4"/>
        <item x="3"/>
        <item x="12"/>
        <item x="1"/>
        <item x="11"/>
        <item x="9"/>
        <item x="8"/>
        <item x="13"/>
        <item x="2"/>
        <item h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6">
        <item h="1" sd="0" x="0"/>
        <item sd="0" x="1"/>
        <item sd="0" x="2"/>
        <item sd="0" x="3"/>
        <item sd="0" x="4"/>
        <item h="1"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11"/>
    <field x="2"/>
  </colFields>
  <colItems count="5">
    <i>
      <x v="1"/>
    </i>
    <i>
      <x v="2"/>
    </i>
    <i>
      <x v="3"/>
    </i>
    <i>
      <x v="4"/>
    </i>
    <i t="grand">
      <x/>
    </i>
  </colItems>
  <dataFields count="1">
    <dataField name="Soma de ID_Venda" fld="0" baseField="0" baseItem="0"/>
  </dataFields>
  <formats count="15"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11" type="button" dataOnly="0" labelOnly="1" outline="0" axis="axisCol" fieldPosition="0"/>
    </format>
    <format dxfId="28">
      <pivotArea field="2" type="button" dataOnly="0" labelOnly="1" outline="0" axis="axisCol" fieldPosition="1"/>
    </format>
    <format dxfId="27">
      <pivotArea type="topRight" dataOnly="0" labelOnly="1" outline="0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11" count="0"/>
        </references>
      </pivotArea>
    </format>
    <format dxfId="22">
      <pivotArea dataOnly="0" labelOnly="1" grandCol="1" outline="0" fieldPosition="0"/>
    </format>
    <format dxfId="5">
      <pivotArea type="origin" dataOnly="0" labelOnly="1" outline="0" offset="A1" fieldPosition="0"/>
    </format>
    <format dxfId="4">
      <pivotArea field="11" type="button" dataOnly="0" labelOnly="1" outline="0" axis="axisCol" fieldPosition="0"/>
    </format>
    <format dxfId="3">
      <pivotArea field="2" type="button" dataOnly="0" labelOnly="1" outline="0" axis="axisCol" fieldPosition="1"/>
    </format>
    <format dxfId="2">
      <pivotArea type="topRight" dataOnly="0" labelOnly="1" outline="0" fieldPosition="0"/>
    </format>
  </formats>
  <conditionalFormats count="4"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1" count="1" selected="0">
              <x v="1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1" count="1" selected="0">
              <x v="2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1" count="1" selected="0">
              <x v="3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1" count="1" selected="0">
              <x v="4"/>
            </reference>
          </references>
        </pivotArea>
      </pivotAreas>
    </conditionalFormat>
  </conditional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A229D-1F19-40B8-A73C-D218542AA696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3">
  <location ref="B40:C51" firstHeaderRow="1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ascending">
      <items count="12">
        <item x="2"/>
        <item x="6"/>
        <item x="1"/>
        <item x="7"/>
        <item x="5"/>
        <item x="0"/>
        <item x="8"/>
        <item x="9"/>
        <item x="4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11">
    <i>
      <x v="7"/>
    </i>
    <i>
      <x v="8"/>
    </i>
    <i>
      <x/>
    </i>
    <i>
      <x v="1"/>
    </i>
    <i>
      <x v="6"/>
    </i>
    <i>
      <x v="3"/>
    </i>
    <i>
      <x v="9"/>
    </i>
    <i>
      <x v="5"/>
    </i>
    <i>
      <x v="4"/>
    </i>
    <i>
      <x v="2"/>
    </i>
    <i t="grand">
      <x/>
    </i>
  </rowItems>
  <colItems count="1">
    <i/>
  </colItems>
  <dataFields count="1">
    <dataField name="Soma de Lucro" fld="9" baseField="0" baseItem="0"/>
  </dataFields>
  <formats count="36">
    <format dxfId="505">
      <pivotArea type="all" dataOnly="0" outline="0" fieldPosition="0"/>
    </format>
    <format dxfId="504">
      <pivotArea outline="0" collapsedLevelsAreSubtotals="1" fieldPosition="0"/>
    </format>
    <format dxfId="503">
      <pivotArea type="origin" dataOnly="0" labelOnly="1" outline="0" fieldPosition="0"/>
    </format>
    <format dxfId="502">
      <pivotArea field="1" type="button" dataOnly="0" labelOnly="1" outline="0"/>
    </format>
    <format dxfId="501">
      <pivotArea type="topRight" dataOnly="0" labelOnly="1" outline="0" fieldPosition="0"/>
    </format>
    <format dxfId="500">
      <pivotArea field="5" type="button" dataOnly="0" labelOnly="1" outline="0" axis="axisRow" fieldPosition="0"/>
    </format>
    <format dxfId="499">
      <pivotArea dataOnly="0" labelOnly="1" fieldPosition="0">
        <references count="1">
          <reference field="5" count="0"/>
        </references>
      </pivotArea>
    </format>
    <format dxfId="498">
      <pivotArea dataOnly="0" labelOnly="1" grandRow="1" outline="0" fieldPosition="0"/>
    </format>
    <format dxfId="497">
      <pivotArea dataOnly="0" labelOnly="1" grandCol="1" outline="0" fieldPosition="0"/>
    </format>
    <format dxfId="496">
      <pivotArea type="all" dataOnly="0" outline="0" fieldPosition="0"/>
    </format>
    <format dxfId="495">
      <pivotArea outline="0" collapsedLevelsAreSubtotals="1" fieldPosition="0"/>
    </format>
    <format dxfId="494">
      <pivotArea type="origin" dataOnly="0" labelOnly="1" outline="0" fieldPosition="0"/>
    </format>
    <format dxfId="493">
      <pivotArea field="1" type="button" dataOnly="0" labelOnly="1" outline="0"/>
    </format>
    <format dxfId="492">
      <pivotArea type="topRight" dataOnly="0" labelOnly="1" outline="0" fieldPosition="0"/>
    </format>
    <format dxfId="491">
      <pivotArea field="5" type="button" dataOnly="0" labelOnly="1" outline="0" axis="axisRow" fieldPosition="0"/>
    </format>
    <format dxfId="490">
      <pivotArea dataOnly="0" labelOnly="1" fieldPosition="0">
        <references count="1">
          <reference field="5" count="0"/>
        </references>
      </pivotArea>
    </format>
    <format dxfId="489">
      <pivotArea dataOnly="0" labelOnly="1" grandRow="1" outline="0" fieldPosition="0"/>
    </format>
    <format dxfId="488">
      <pivotArea dataOnly="0" labelOnly="1" grandCol="1" outline="0" fieldPosition="0"/>
    </format>
    <format dxfId="487">
      <pivotArea type="origin" dataOnly="0" labelOnly="1" outline="0" fieldPosition="0"/>
    </format>
    <format dxfId="486">
      <pivotArea field="1" type="button" dataOnly="0" labelOnly="1" outline="0"/>
    </format>
    <format dxfId="485">
      <pivotArea type="all" dataOnly="0" outline="0" fieldPosition="0"/>
    </format>
    <format dxfId="484">
      <pivotArea outline="0" collapsedLevelsAreSubtotals="1" fieldPosition="0"/>
    </format>
    <format dxfId="483">
      <pivotArea type="origin" dataOnly="0" labelOnly="1" outline="0" fieldPosition="0"/>
    </format>
    <format dxfId="482">
      <pivotArea field="1" type="button" dataOnly="0" labelOnly="1" outline="0"/>
    </format>
    <format dxfId="481">
      <pivotArea type="topRight" dataOnly="0" labelOnly="1" outline="0" fieldPosition="0"/>
    </format>
    <format dxfId="480">
      <pivotArea field="5" type="button" dataOnly="0" labelOnly="1" outline="0" axis="axisRow" fieldPosition="0"/>
    </format>
    <format dxfId="479">
      <pivotArea dataOnly="0" labelOnly="1" fieldPosition="0">
        <references count="1">
          <reference field="5" count="0"/>
        </references>
      </pivotArea>
    </format>
    <format dxfId="478">
      <pivotArea dataOnly="0" labelOnly="1" grandRow="1" outline="0" fieldPosition="0"/>
    </format>
    <format dxfId="477">
      <pivotArea dataOnly="0" labelOnly="1" grandCol="1" outline="0" fieldPosition="0"/>
    </format>
    <format dxfId="476">
      <pivotArea collapsedLevelsAreSubtotals="1" fieldPosition="0">
        <references count="1">
          <reference field="5" count="0"/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5" type="button" dataOnly="0" labelOnly="1" outline="0" axis="axisRow" fieldPosition="0"/>
    </format>
    <format dxfId="18">
      <pivotArea dataOnly="0" labelOnly="1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2">
    <chartFormat chart="2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3994A-D8F8-4DDD-86FB-6E2D0C170AE6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 rowHeaderCaption="Região">
  <location ref="Q4:R10" firstHeaderRow="1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ascending">
      <items count="7">
        <item x="1"/>
        <item x="3"/>
        <item x="0"/>
        <item x="4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Total Lucro" fld="9" baseField="4" baseItem="0"/>
  </dataFields>
  <formats count="24">
    <format dxfId="527">
      <pivotArea type="all" dataOnly="0" outline="0" fieldPosition="0"/>
    </format>
    <format dxfId="526">
      <pivotArea outline="0" collapsedLevelsAreSubtotals="1" fieldPosition="0"/>
    </format>
    <format dxfId="525">
      <pivotArea field="4" type="button" dataOnly="0" labelOnly="1" outline="0" axis="axisRow" fieldPosition="0"/>
    </format>
    <format dxfId="524">
      <pivotArea dataOnly="0" labelOnly="1" fieldPosition="0">
        <references count="1">
          <reference field="4" count="0"/>
        </references>
      </pivotArea>
    </format>
    <format dxfId="523">
      <pivotArea dataOnly="0" labelOnly="1" grandRow="1" outline="0" fieldPosition="0"/>
    </format>
    <format dxfId="522">
      <pivotArea dataOnly="0" labelOnly="1" outline="0" axis="axisValues" fieldPosition="0"/>
    </format>
    <format dxfId="521">
      <pivotArea field="4" type="button" dataOnly="0" labelOnly="1" outline="0" axis="axisRow" fieldPosition="0"/>
    </format>
    <format dxfId="520">
      <pivotArea dataOnly="0" labelOnly="1" fieldPosition="0">
        <references count="1">
          <reference field="4" count="0"/>
        </references>
      </pivotArea>
    </format>
    <format dxfId="519">
      <pivotArea dataOnly="0" labelOnly="1" grandRow="1" outline="0" fieldPosition="0"/>
    </format>
    <format dxfId="518">
      <pivotArea type="all" dataOnly="0" outline="0" fieldPosition="0"/>
    </format>
    <format dxfId="517">
      <pivotArea outline="0" collapsedLevelsAreSubtotals="1" fieldPosition="0"/>
    </format>
    <format dxfId="516">
      <pivotArea field="4" type="button" dataOnly="0" labelOnly="1" outline="0" axis="axisRow" fieldPosition="0"/>
    </format>
    <format dxfId="515">
      <pivotArea dataOnly="0" labelOnly="1" fieldPosition="0">
        <references count="1">
          <reference field="4" count="0"/>
        </references>
      </pivotArea>
    </format>
    <format dxfId="514">
      <pivotArea dataOnly="0" labelOnly="1" grandRow="1" outline="0" fieldPosition="0"/>
    </format>
    <format dxfId="513">
      <pivotArea dataOnly="0" labelOnly="1" outline="0" axis="axisValues" fieldPosition="0"/>
    </format>
    <format dxfId="512">
      <pivotArea type="all" dataOnly="0" outline="0" fieldPosition="0"/>
    </format>
    <format dxfId="511">
      <pivotArea outline="0" collapsedLevelsAreSubtotals="1" fieldPosition="0"/>
    </format>
    <format dxfId="510">
      <pivotArea field="4" type="button" dataOnly="0" labelOnly="1" outline="0" axis="axisRow" fieldPosition="0"/>
    </format>
    <format dxfId="509">
      <pivotArea dataOnly="0" labelOnly="1" fieldPosition="0">
        <references count="1">
          <reference field="4" count="0"/>
        </references>
      </pivotArea>
    </format>
    <format dxfId="508">
      <pivotArea dataOnly="0" labelOnly="1" grandRow="1" outline="0" fieldPosition="0"/>
    </format>
    <format dxfId="507">
      <pivotArea dataOnly="0" labelOnly="1" outline="0" axis="axisValues" fieldPosition="0"/>
    </format>
    <format dxfId="506">
      <pivotArea collapsedLevelsAreSubtotals="1" fieldPosition="0">
        <references count="1">
          <reference field="4" count="0"/>
        </references>
      </pivotArea>
    </format>
    <format dxfId="381">
      <pivotArea dataOnly="0" labelOnly="1" outline="0" axis="axisValues" fieldPosition="0"/>
    </format>
    <format dxfId="379">
      <pivotArea field="4" type="button" dataOnly="0" labelOnly="1" outline="0" axis="axisRow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AAFFB-2063-4827-839B-B241297851D5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B3:D18" firstHeaderRow="0" firstDataRow="1" firstDataCol="1"/>
  <pivotFields count="13"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6">
        <item x="5"/>
        <item x="0"/>
        <item x="7"/>
        <item x="10"/>
        <item x="6"/>
        <item x="4"/>
        <item x="3"/>
        <item x="12"/>
        <item x="1"/>
        <item x="11"/>
        <item x="9"/>
        <item x="8"/>
        <item x="13"/>
        <item x="2"/>
        <item h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ascending">
      <items count="12">
        <item x="2"/>
        <item x="6"/>
        <item x="1"/>
        <item x="7"/>
        <item x="5"/>
        <item x="0"/>
        <item x="8"/>
        <item x="9"/>
        <item x="4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15">
    <i>
      <x v="2"/>
    </i>
    <i>
      <x v="11"/>
    </i>
    <i>
      <x v="8"/>
    </i>
    <i>
      <x/>
    </i>
    <i>
      <x v="10"/>
    </i>
    <i>
      <x v="6"/>
    </i>
    <i>
      <x v="5"/>
    </i>
    <i>
      <x v="1"/>
    </i>
    <i>
      <x v="7"/>
    </i>
    <i>
      <x v="13"/>
    </i>
    <i>
      <x v="4"/>
    </i>
    <i>
      <x v="12"/>
    </i>
    <i>
      <x v="9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Lucro" fld="9" baseField="0" baseItem="0"/>
    <dataField name="Soma de Receita" fld="10" baseField="0" baseItem="0"/>
  </dataFields>
  <formats count="30">
    <format dxfId="549">
      <pivotArea type="all" dataOnly="0" outline="0" fieldPosition="0"/>
    </format>
    <format dxfId="548">
      <pivotArea outline="0" collapsedLevelsAreSubtotals="1" fieldPosition="0"/>
    </format>
    <format dxfId="547">
      <pivotArea field="2" type="button" dataOnly="0" labelOnly="1" outline="0" axis="axisRow" fieldPosition="0"/>
    </format>
    <format dxfId="546">
      <pivotArea dataOnly="0" labelOnly="1" grandRow="1" outline="0" fieldPosition="0"/>
    </format>
    <format dxfId="545">
      <pivotArea dataOnly="0" labelOnly="1" outline="0" axis="axisValues" fieldPosition="0"/>
    </format>
    <format dxfId="5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2">
      <pivotArea collapsedLevelsAreSubtotals="1" fieldPosition="0">
        <references count="1">
          <reference field="2" count="0"/>
        </references>
      </pivotArea>
    </format>
    <format dxfId="541">
      <pivotArea field="2" type="button" dataOnly="0" labelOnly="1" outline="0" axis="axisRow" fieldPosition="0"/>
    </format>
    <format dxfId="540">
      <pivotArea dataOnly="0" labelOnly="1" fieldPosition="0">
        <references count="1">
          <reference field="2" count="0"/>
        </references>
      </pivotArea>
    </format>
    <format dxfId="5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8">
      <pivotArea collapsedLevelsAreSubtotals="1" fieldPosition="0">
        <references count="1">
          <reference field="2" count="0"/>
        </references>
      </pivotArea>
    </format>
    <format dxfId="537">
      <pivotArea field="2" type="button" dataOnly="0" labelOnly="1" outline="0" axis="axisRow" fieldPosition="0"/>
    </format>
    <format dxfId="536">
      <pivotArea dataOnly="0" labelOnly="1" fieldPosition="0">
        <references count="1">
          <reference field="2" count="0"/>
        </references>
      </pivotArea>
    </format>
    <format dxfId="5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4">
      <pivotArea grandRow="1" outline="0" collapsedLevelsAreSubtotals="1" fieldPosition="0"/>
    </format>
    <format dxfId="533">
      <pivotArea dataOnly="0" labelOnly="1" grandRow="1" outline="0" fieldPosition="0"/>
    </format>
    <format dxfId="532">
      <pivotArea grandRow="1" outline="0" collapsedLevelsAreSubtotals="1" fieldPosition="0"/>
    </format>
    <format dxfId="531">
      <pivotArea dataOnly="0" labelOnly="1" grandRow="1" outline="0" fieldPosition="0"/>
    </format>
    <format dxfId="530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529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5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B53B2-64E8-4218-95D4-8BE440ECC312}" name="Tabela dinâ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Q39:S40" firstHeaderRow="0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>
      <items count="302">
        <item x="298"/>
        <item x="296"/>
        <item x="293"/>
        <item x="299"/>
        <item x="289"/>
        <item x="297"/>
        <item x="288"/>
        <item x="284"/>
        <item x="285"/>
        <item x="286"/>
        <item x="283"/>
        <item x="291"/>
        <item x="294"/>
        <item x="287"/>
        <item x="290"/>
        <item x="295"/>
        <item x="270"/>
        <item x="272"/>
        <item x="280"/>
        <item x="292"/>
        <item x="273"/>
        <item x="281"/>
        <item x="279"/>
        <item x="282"/>
        <item x="268"/>
        <item x="263"/>
        <item x="276"/>
        <item x="261"/>
        <item x="275"/>
        <item x="277"/>
        <item x="260"/>
        <item x="269"/>
        <item x="278"/>
        <item x="274"/>
        <item x="264"/>
        <item x="247"/>
        <item x="246"/>
        <item x="252"/>
        <item x="245"/>
        <item x="271"/>
        <item x="235"/>
        <item x="262"/>
        <item x="233"/>
        <item x="253"/>
        <item x="229"/>
        <item x="267"/>
        <item x="236"/>
        <item x="266"/>
        <item x="258"/>
        <item x="265"/>
        <item x="249"/>
        <item x="254"/>
        <item x="234"/>
        <item x="242"/>
        <item x="237"/>
        <item x="248"/>
        <item x="227"/>
        <item x="251"/>
        <item x="226"/>
        <item x="250"/>
        <item x="223"/>
        <item x="256"/>
        <item x="257"/>
        <item x="244"/>
        <item x="219"/>
        <item x="221"/>
        <item x="259"/>
        <item x="214"/>
        <item x="243"/>
        <item x="241"/>
        <item x="228"/>
        <item x="215"/>
        <item x="230"/>
        <item x="202"/>
        <item x="240"/>
        <item x="255"/>
        <item x="180"/>
        <item x="191"/>
        <item x="211"/>
        <item x="212"/>
        <item x="225"/>
        <item x="224"/>
        <item x="173"/>
        <item x="176"/>
        <item x="151"/>
        <item x="167"/>
        <item x="190"/>
        <item x="210"/>
        <item x="213"/>
        <item x="175"/>
        <item x="187"/>
        <item x="239"/>
        <item x="198"/>
        <item x="231"/>
        <item x="196"/>
        <item x="148"/>
        <item x="189"/>
        <item x="238"/>
        <item x="179"/>
        <item x="207"/>
        <item x="159"/>
        <item x="218"/>
        <item x="232"/>
        <item x="181"/>
        <item x="143"/>
        <item x="222"/>
        <item x="165"/>
        <item x="135"/>
        <item x="192"/>
        <item x="145"/>
        <item x="149"/>
        <item x="160"/>
        <item x="188"/>
        <item x="141"/>
        <item x="147"/>
        <item x="194"/>
        <item x="113"/>
        <item x="200"/>
        <item x="205"/>
        <item x="220"/>
        <item x="125"/>
        <item x="122"/>
        <item x="106"/>
        <item x="103"/>
        <item x="182"/>
        <item x="155"/>
        <item x="128"/>
        <item x="95"/>
        <item x="199"/>
        <item x="85"/>
        <item x="197"/>
        <item x="193"/>
        <item x="195"/>
        <item x="216"/>
        <item x="163"/>
        <item x="93"/>
        <item x="153"/>
        <item x="206"/>
        <item x="208"/>
        <item x="74"/>
        <item x="138"/>
        <item x="178"/>
        <item x="97"/>
        <item x="217"/>
        <item x="91"/>
        <item x="177"/>
        <item x="70"/>
        <item x="184"/>
        <item x="204"/>
        <item x="63"/>
        <item x="172"/>
        <item x="78"/>
        <item x="154"/>
        <item x="171"/>
        <item x="119"/>
        <item x="152"/>
        <item x="209"/>
        <item x="88"/>
        <item x="170"/>
        <item x="59"/>
        <item x="57"/>
        <item x="166"/>
        <item x="201"/>
        <item x="52"/>
        <item x="132"/>
        <item x="203"/>
        <item x="120"/>
        <item x="54"/>
        <item x="162"/>
        <item x="75"/>
        <item x="164"/>
        <item x="51"/>
        <item x="77"/>
        <item x="156"/>
        <item x="73"/>
        <item x="60"/>
        <item x="150"/>
        <item x="68"/>
        <item x="116"/>
        <item x="112"/>
        <item x="169"/>
        <item x="133"/>
        <item x="99"/>
        <item x="33"/>
        <item x="186"/>
        <item x="115"/>
        <item x="130"/>
        <item x="39"/>
        <item x="185"/>
        <item x="114"/>
        <item x="134"/>
        <item x="36"/>
        <item x="109"/>
        <item x="118"/>
        <item x="83"/>
        <item x="34"/>
        <item x="90"/>
        <item x="94"/>
        <item x="49"/>
        <item x="65"/>
        <item x="140"/>
        <item x="146"/>
        <item x="168"/>
        <item x="29"/>
        <item x="158"/>
        <item x="126"/>
        <item x="183"/>
        <item x="27"/>
        <item x="110"/>
        <item x="79"/>
        <item x="40"/>
        <item x="142"/>
        <item x="89"/>
        <item x="30"/>
        <item x="76"/>
        <item x="64"/>
        <item x="144"/>
        <item x="32"/>
        <item x="25"/>
        <item x="105"/>
        <item x="139"/>
        <item x="86"/>
        <item x="69"/>
        <item x="22"/>
        <item x="20"/>
        <item x="107"/>
        <item x="174"/>
        <item x="161"/>
        <item x="19"/>
        <item x="41"/>
        <item x="123"/>
        <item x="17"/>
        <item x="104"/>
        <item x="47"/>
        <item x="121"/>
        <item x="61"/>
        <item x="21"/>
        <item x="101"/>
        <item x="131"/>
        <item x="98"/>
        <item x="82"/>
        <item x="129"/>
        <item x="72"/>
        <item x="84"/>
        <item x="58"/>
        <item x="37"/>
        <item x="53"/>
        <item x="15"/>
        <item x="157"/>
        <item x="38"/>
        <item x="102"/>
        <item x="87"/>
        <item x="80"/>
        <item x="56"/>
        <item x="35"/>
        <item x="124"/>
        <item x="81"/>
        <item x="31"/>
        <item x="48"/>
        <item x="96"/>
        <item x="14"/>
        <item x="108"/>
        <item x="7"/>
        <item x="44"/>
        <item x="5"/>
        <item x="45"/>
        <item x="28"/>
        <item x="136"/>
        <item x="4"/>
        <item x="67"/>
        <item x="71"/>
        <item x="10"/>
        <item x="66"/>
        <item x="137"/>
        <item x="18"/>
        <item x="9"/>
        <item x="100"/>
        <item x="13"/>
        <item x="62"/>
        <item x="3"/>
        <item x="16"/>
        <item x="111"/>
        <item x="26"/>
        <item x="11"/>
        <item x="23"/>
        <item x="46"/>
        <item x="50"/>
        <item x="55"/>
        <item x="8"/>
        <item x="1"/>
        <item x="127"/>
        <item x="42"/>
        <item x="12"/>
        <item x="24"/>
        <item x="6"/>
        <item x="43"/>
        <item x="0"/>
        <item x="117"/>
        <item x="2"/>
        <item x="92"/>
        <item x="300"/>
        <item t="default"/>
      </items>
    </pivotField>
    <pivotField showAll="0"/>
    <pivotField dataField="1" showAll="0"/>
    <pivotField dataField="1" showAll="0">
      <items count="302">
        <item x="299"/>
        <item x="285"/>
        <item x="286"/>
        <item x="272"/>
        <item x="289"/>
        <item x="275"/>
        <item x="262"/>
        <item x="283"/>
        <item x="288"/>
        <item x="266"/>
        <item x="265"/>
        <item x="298"/>
        <item x="296"/>
        <item x="297"/>
        <item x="223"/>
        <item x="280"/>
        <item x="219"/>
        <item x="295"/>
        <item x="273"/>
        <item x="270"/>
        <item x="293"/>
        <item x="263"/>
        <item x="291"/>
        <item x="165"/>
        <item x="274"/>
        <item x="284"/>
        <item x="242"/>
        <item x="237"/>
        <item x="294"/>
        <item x="247"/>
        <item x="106"/>
        <item x="252"/>
        <item x="235"/>
        <item x="63"/>
        <item x="170"/>
        <item x="51"/>
        <item x="281"/>
        <item x="150"/>
        <item x="290"/>
        <item x="276"/>
        <item x="261"/>
        <item x="118"/>
        <item x="287"/>
        <item x="173"/>
        <item x="27"/>
        <item x="167"/>
        <item x="144"/>
        <item x="175"/>
        <item x="256"/>
        <item x="257"/>
        <item x="267"/>
        <item x="238"/>
        <item x="246"/>
        <item x="221"/>
        <item x="159"/>
        <item x="131"/>
        <item x="279"/>
        <item x="249"/>
        <item x="102"/>
        <item x="135"/>
        <item x="192"/>
        <item x="149"/>
        <item x="292"/>
        <item x="268"/>
        <item x="194"/>
        <item x="5"/>
        <item x="45"/>
        <item x="67"/>
        <item x="233"/>
        <item x="3"/>
        <item x="260"/>
        <item x="155"/>
        <item x="229"/>
        <item x="236"/>
        <item x="258"/>
        <item x="42"/>
        <item x="224"/>
        <item x="282"/>
        <item x="214"/>
        <item x="190"/>
        <item x="243"/>
        <item x="278"/>
        <item x="184"/>
        <item x="179"/>
        <item x="264"/>
        <item x="68"/>
        <item x="222"/>
        <item x="145"/>
        <item x="141"/>
        <item x="277"/>
        <item x="90"/>
        <item x="269"/>
        <item x="245"/>
        <item x="140"/>
        <item x="29"/>
        <item x="40"/>
        <item x="105"/>
        <item x="86"/>
        <item x="239"/>
        <item x="189"/>
        <item x="218"/>
        <item x="211"/>
        <item x="37"/>
        <item x="250"/>
        <item x="56"/>
        <item x="78"/>
        <item x="160"/>
        <item x="253"/>
        <item x="271"/>
        <item x="7"/>
        <item x="54"/>
        <item x="162"/>
        <item x="227"/>
        <item x="251"/>
        <item x="240"/>
        <item x="198"/>
        <item x="1"/>
        <item x="207"/>
        <item x="197"/>
        <item x="117"/>
        <item x="36"/>
        <item x="234"/>
        <item x="193"/>
        <item x="94"/>
        <item x="216"/>
        <item x="244"/>
        <item x="226"/>
        <item x="230"/>
        <item x="151"/>
        <item x="202"/>
        <item x="254"/>
        <item x="64"/>
        <item x="69"/>
        <item x="228"/>
        <item x="248"/>
        <item x="196"/>
        <item x="104"/>
        <item x="103"/>
        <item x="182"/>
        <item x="215"/>
        <item x="98"/>
        <item x="181"/>
        <item x="176"/>
        <item x="157"/>
        <item x="185"/>
        <item x="259"/>
        <item x="231"/>
        <item x="205"/>
        <item x="137"/>
        <item x="146"/>
        <item x="168"/>
        <item x="241"/>
        <item x="111"/>
        <item x="255"/>
        <item x="110"/>
        <item x="180"/>
        <item x="128"/>
        <item x="57"/>
        <item x="8"/>
        <item x="52"/>
        <item x="213"/>
        <item x="120"/>
        <item x="212"/>
        <item x="2"/>
        <item x="164"/>
        <item x="188"/>
        <item x="147"/>
        <item x="148"/>
        <item x="163"/>
        <item x="123"/>
        <item x="113"/>
        <item x="133"/>
        <item x="99"/>
        <item x="220"/>
        <item x="191"/>
        <item x="72"/>
        <item x="58"/>
        <item x="34"/>
        <item x="152"/>
        <item x="85"/>
        <item x="225"/>
        <item x="48"/>
        <item x="14"/>
        <item x="108"/>
        <item x="44"/>
        <item x="232"/>
        <item x="210"/>
        <item x="32"/>
        <item x="187"/>
        <item x="143"/>
        <item x="100"/>
        <item x="177"/>
        <item x="26"/>
        <item x="134"/>
        <item x="6"/>
        <item x="43"/>
        <item x="201"/>
        <item x="132"/>
        <item x="93"/>
        <item x="125"/>
        <item x="206"/>
        <item x="65"/>
        <item x="122"/>
        <item x="75"/>
        <item x="126"/>
        <item x="183"/>
        <item x="35"/>
        <item x="81"/>
        <item x="91"/>
        <item x="142"/>
        <item x="89"/>
        <item x="95"/>
        <item x="199"/>
        <item x="70"/>
        <item x="186"/>
        <item x="115"/>
        <item x="200"/>
        <item x="28"/>
        <item x="4"/>
        <item x="39"/>
        <item x="172"/>
        <item x="88"/>
        <item x="107"/>
        <item x="174"/>
        <item x="66"/>
        <item x="41"/>
        <item x="83"/>
        <item x="138"/>
        <item x="97"/>
        <item x="82"/>
        <item x="50"/>
        <item x="77"/>
        <item x="158"/>
        <item x="204"/>
        <item x="79"/>
        <item x="80"/>
        <item x="154"/>
        <item x="171"/>
        <item x="195"/>
        <item x="119"/>
        <item x="130"/>
        <item x="209"/>
        <item x="25"/>
        <item x="153"/>
        <item x="208"/>
        <item x="74"/>
        <item x="178"/>
        <item x="217"/>
        <item x="109"/>
        <item x="18"/>
        <item x="73"/>
        <item x="129"/>
        <item x="60"/>
        <item x="169"/>
        <item x="46"/>
        <item x="59"/>
        <item x="55"/>
        <item x="166"/>
        <item x="12"/>
        <item x="203"/>
        <item x="139"/>
        <item x="20"/>
        <item x="19"/>
        <item x="156"/>
        <item x="116"/>
        <item x="112"/>
        <item x="21"/>
        <item x="33"/>
        <item x="101"/>
        <item x="114"/>
        <item x="30"/>
        <item x="87"/>
        <item x="127"/>
        <item x="24"/>
        <item x="161"/>
        <item x="49"/>
        <item x="61"/>
        <item x="136"/>
        <item x="71"/>
        <item x="10"/>
        <item x="76"/>
        <item x="15"/>
        <item x="38"/>
        <item x="22"/>
        <item x="11"/>
        <item x="124"/>
        <item x="31"/>
        <item x="17"/>
        <item x="47"/>
        <item x="121"/>
        <item x="96"/>
        <item x="0"/>
        <item x="84"/>
        <item x="53"/>
        <item x="9"/>
        <item x="13"/>
        <item x="23"/>
        <item x="62"/>
        <item x="16"/>
        <item x="92"/>
        <item x="300"/>
        <item t="default"/>
      </items>
    </pivotField>
    <pivotField showAll="0" defaultSubtota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Receita" fld="10" baseField="0" baseItem="0" numFmtId="2"/>
    <dataField name="Soma de Lucro" fld="9" baseField="0" baseItem="0"/>
    <dataField name="Média de Receita" fld="10" subtotal="average" baseField="0" baseItem="2" numFmtId="2"/>
  </dataFields>
  <formats count="8">
    <format dxfId="5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E539FDB-ED63-4AFC-AE55-78D12170439C}" autoFormatId="16" applyNumberFormats="0" applyBorderFormats="0" applyFontFormats="0" applyPatternFormats="0" applyAlignmentFormats="0" applyWidthHeightFormats="0">
  <queryTableRefresh nextId="12">
    <queryTableFields count="11">
      <queryTableField id="1" name="ID_Venda" tableColumnId="1"/>
      <queryTableField id="2" name="Data" tableColumnId="2"/>
      <queryTableField id="3" name="Produto" tableColumnId="3"/>
      <queryTableField id="4" name="Categoria" tableColumnId="4"/>
      <queryTableField id="5" name="Região" tableColumnId="5"/>
      <queryTableField id="6" name="Vendedor" tableColumnId="6"/>
      <queryTableField id="7" name="Quantidade" tableColumnId="7"/>
      <queryTableField id="8" name="Preco_Unitario" tableColumnId="8"/>
      <queryTableField id="9" name="Custo_Unitario" tableColumnId="9"/>
      <queryTableField id="10" name="Lucro" tableColumnId="10"/>
      <queryTableField id="11" name="Receit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525F8-41BB-4614-B761-7146A876ECEA}" name="Planilha1" displayName="Planilha1" ref="A1:K301" tableType="queryTable" totalsRowShown="0">
  <autoFilter ref="A1:K301" xr:uid="{11E525F8-41BB-4614-B761-7146A876ECEA}"/>
  <tableColumns count="11">
    <tableColumn id="1" xr3:uid="{0ADDDECA-98FA-474C-897B-E628F1640CA1}" uniqueName="1" name="ID_Venda" queryTableFieldId="1"/>
    <tableColumn id="2" xr3:uid="{68226277-9B15-4F31-88EE-CE5A2AB66FAD}" uniqueName="2" name="Data" queryTableFieldId="2" dataDxfId="475"/>
    <tableColumn id="3" xr3:uid="{1EEE83DE-DE0D-4E2D-AA50-7C3D513532BB}" uniqueName="3" name="Produto" queryTableFieldId="3" dataDxfId="474"/>
    <tableColumn id="4" xr3:uid="{1D381FF1-5839-4351-8BA4-2B0DBC48D811}" uniqueName="4" name="Categoria" queryTableFieldId="4" dataDxfId="473"/>
    <tableColumn id="5" xr3:uid="{8965E1DA-393B-42FC-9F8B-E490452535DC}" uniqueName="5" name="Região" queryTableFieldId="5" dataDxfId="472"/>
    <tableColumn id="6" xr3:uid="{6C97E33A-CBE2-4339-949F-04D81EED1519}" uniqueName="6" name="Vendedor" queryTableFieldId="6" dataDxfId="471"/>
    <tableColumn id="7" xr3:uid="{81B8B866-81E9-4327-BEB3-831FB99A8F3B}" uniqueName="7" name="Quantidade" queryTableFieldId="7"/>
    <tableColumn id="8" xr3:uid="{C6B270B5-A62B-4B55-9739-3CB45D4084FF}" uniqueName="8" name="Preco_Unitario" queryTableFieldId="8"/>
    <tableColumn id="9" xr3:uid="{75BCD3B7-B2BB-4593-9F41-E1438ACBC1B1}" uniqueName="9" name="Custo_Unitario" queryTableFieldId="9"/>
    <tableColumn id="10" xr3:uid="{3ADB40F4-75FE-41DC-A685-7DC2DFC8006F}" uniqueName="10" name="Lucro" queryTableFieldId="10"/>
    <tableColumn id="11" xr3:uid="{FD6E2684-1F23-44F8-AD2C-6115B55CC00F}" uniqueName="11" name="Receita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DB7E-7BAF-4905-8B1A-F5ECE037CBBC}">
  <dimension ref="F1:X1"/>
  <sheetViews>
    <sheetView showGridLines="0" tabSelected="1" zoomScale="85" zoomScaleNormal="85" workbookViewId="0">
      <selection activeCell="AD42" sqref="AD42"/>
    </sheetView>
  </sheetViews>
  <sheetFormatPr defaultRowHeight="15" x14ac:dyDescent="0.25"/>
  <cols>
    <col min="1" max="16384" width="9.140625" style="24"/>
  </cols>
  <sheetData>
    <row r="1" spans="6:24" s="25" customFormat="1" ht="39.75" customHeight="1" thickBot="1" x14ac:dyDescent="0.3">
      <c r="F1" s="100" t="s">
        <v>75</v>
      </c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</sheetData>
  <mergeCells count="1">
    <mergeCell ref="F1:X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A90-E510-4B81-B4E9-7A8196813B11}">
  <dimension ref="B2:AF42"/>
  <sheetViews>
    <sheetView showGridLines="0" zoomScale="85" zoomScaleNormal="85" workbookViewId="0">
      <selection activeCell="AG9" sqref="AG9"/>
    </sheetView>
  </sheetViews>
  <sheetFormatPr defaultRowHeight="15" x14ac:dyDescent="0.25"/>
  <cols>
    <col min="1" max="1" width="2.7109375" customWidth="1"/>
    <col min="2" max="2" width="3.5703125" customWidth="1"/>
    <col min="3" max="3" width="4" customWidth="1"/>
    <col min="4" max="4" width="2.42578125" customWidth="1"/>
    <col min="5" max="5" width="5.5703125" customWidth="1"/>
    <col min="6" max="6" width="15" customWidth="1"/>
    <col min="7" max="8" width="11.5703125" customWidth="1"/>
    <col min="9" max="9" width="9.140625" customWidth="1"/>
    <col min="10" max="10" width="14.5703125" customWidth="1"/>
    <col min="11" max="11" width="3.7109375" customWidth="1"/>
    <col min="12" max="12" width="4" customWidth="1"/>
    <col min="13" max="13" width="4.140625" customWidth="1"/>
    <col min="14" max="14" width="2.28515625" customWidth="1"/>
    <col min="15" max="15" width="3.7109375" customWidth="1"/>
    <col min="16" max="16" width="15.85546875" customWidth="1"/>
    <col min="17" max="17" width="12.7109375" customWidth="1"/>
    <col min="18" max="18" width="9.7109375" customWidth="1"/>
    <col min="19" max="19" width="8.140625" customWidth="1"/>
    <col min="20" max="20" width="10.5703125" customWidth="1"/>
    <col min="21" max="21" width="11.42578125" customWidth="1"/>
    <col min="28" max="28" width="3.140625" customWidth="1"/>
    <col min="29" max="29" width="5.42578125" customWidth="1"/>
    <col min="30" max="30" width="4.28515625" customWidth="1"/>
    <col min="31" max="31" width="3.5703125" customWidth="1"/>
    <col min="32" max="32" width="5.28515625" customWidth="1"/>
    <col min="33" max="33" width="12.28515625" customWidth="1"/>
  </cols>
  <sheetData>
    <row r="2" spans="2:32" x14ac:dyDescent="0.25">
      <c r="B2" s="90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2"/>
    </row>
    <row r="3" spans="2:32" x14ac:dyDescent="0.25">
      <c r="B3" s="93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6"/>
    </row>
    <row r="4" spans="2:32" ht="17.25" customHeight="1" x14ac:dyDescent="0.25">
      <c r="B4" s="93"/>
      <c r="C4" s="68"/>
      <c r="D4" s="69"/>
      <c r="E4" s="69"/>
      <c r="F4" s="69"/>
      <c r="G4" s="69"/>
      <c r="H4" s="69"/>
      <c r="I4" s="69"/>
      <c r="J4" s="69"/>
      <c r="K4" s="70"/>
      <c r="L4" s="94"/>
      <c r="M4" s="68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70"/>
      <c r="AF4" s="96"/>
    </row>
    <row r="5" spans="2:32" x14ac:dyDescent="0.25">
      <c r="B5" s="93"/>
      <c r="C5" s="71"/>
      <c r="D5" s="76"/>
      <c r="E5" s="77"/>
      <c r="F5" s="77"/>
      <c r="G5" s="77"/>
      <c r="H5" s="77"/>
      <c r="I5" s="77"/>
      <c r="J5" s="78"/>
      <c r="K5" s="72"/>
      <c r="L5" s="94"/>
      <c r="M5" s="71"/>
      <c r="N5" s="76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8"/>
      <c r="AE5" s="72"/>
      <c r="AF5" s="96"/>
    </row>
    <row r="6" spans="2:32" x14ac:dyDescent="0.25">
      <c r="B6" s="93"/>
      <c r="C6" s="71"/>
      <c r="D6" s="79"/>
      <c r="E6" s="80" t="s">
        <v>139</v>
      </c>
      <c r="F6" s="80" t="s">
        <v>140</v>
      </c>
      <c r="G6" s="80"/>
      <c r="H6" s="80"/>
      <c r="I6" s="80"/>
      <c r="J6" s="81"/>
      <c r="K6" s="72"/>
      <c r="L6" s="94"/>
      <c r="M6" s="71"/>
      <c r="N6" s="79"/>
      <c r="O6" s="80" t="s">
        <v>98</v>
      </c>
      <c r="P6" s="80" t="s">
        <v>120</v>
      </c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1"/>
      <c r="AE6" s="72"/>
      <c r="AF6" s="96"/>
    </row>
    <row r="7" spans="2:32" x14ac:dyDescent="0.25">
      <c r="B7" s="93"/>
      <c r="C7" s="71"/>
      <c r="D7" s="79"/>
      <c r="E7" s="80"/>
      <c r="F7" s="80" t="s">
        <v>83</v>
      </c>
      <c r="G7" s="80"/>
      <c r="H7" s="80"/>
      <c r="I7" s="80"/>
      <c r="J7" s="81"/>
      <c r="K7" s="72"/>
      <c r="L7" s="94"/>
      <c r="M7" s="71"/>
      <c r="N7" s="79"/>
      <c r="O7" s="80"/>
      <c r="P7" s="80" t="s">
        <v>99</v>
      </c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25"/>
      <c r="AC7" s="80"/>
      <c r="AD7" s="81"/>
      <c r="AE7" s="72"/>
      <c r="AF7" s="96"/>
    </row>
    <row r="8" spans="2:32" x14ac:dyDescent="0.25">
      <c r="B8" s="93"/>
      <c r="C8" s="71"/>
      <c r="D8" s="79"/>
      <c r="E8" s="80"/>
      <c r="F8" s="80" t="s">
        <v>84</v>
      </c>
      <c r="G8" s="80"/>
      <c r="H8" s="80"/>
      <c r="I8" s="80"/>
      <c r="J8" s="81"/>
      <c r="K8" s="72"/>
      <c r="L8" s="94"/>
      <c r="M8" s="71"/>
      <c r="N8" s="79"/>
      <c r="O8" s="80"/>
      <c r="P8" s="80" t="s">
        <v>100</v>
      </c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25"/>
      <c r="AC8" s="80"/>
      <c r="AD8" s="81"/>
      <c r="AE8" s="72"/>
      <c r="AF8" s="96"/>
    </row>
    <row r="9" spans="2:32" x14ac:dyDescent="0.25">
      <c r="B9" s="93"/>
      <c r="C9" s="71"/>
      <c r="D9" s="79"/>
      <c r="E9" s="80"/>
      <c r="F9" s="80"/>
      <c r="G9" s="80"/>
      <c r="H9" s="80"/>
      <c r="I9" s="80"/>
      <c r="J9" s="81"/>
      <c r="K9" s="72"/>
      <c r="L9" s="94"/>
      <c r="M9" s="71"/>
      <c r="N9" s="79"/>
      <c r="O9" s="80"/>
      <c r="P9" s="80" t="s">
        <v>112</v>
      </c>
      <c r="Q9" s="25"/>
      <c r="R9" s="25"/>
      <c r="S9" s="80"/>
      <c r="T9" s="80"/>
      <c r="U9" s="80"/>
      <c r="V9" s="80"/>
      <c r="W9" s="80"/>
      <c r="X9" s="80"/>
      <c r="Y9" s="80"/>
      <c r="Z9" s="80"/>
      <c r="AA9" s="80"/>
      <c r="AB9" s="25"/>
      <c r="AC9" s="80"/>
      <c r="AD9" s="81"/>
      <c r="AE9" s="72"/>
      <c r="AF9" s="96"/>
    </row>
    <row r="10" spans="2:32" x14ac:dyDescent="0.25">
      <c r="B10" s="93"/>
      <c r="C10" s="71"/>
      <c r="D10" s="79"/>
      <c r="E10" s="80" t="s">
        <v>118</v>
      </c>
      <c r="F10" s="80" t="s">
        <v>141</v>
      </c>
      <c r="G10" s="80"/>
      <c r="H10" s="80"/>
      <c r="I10" s="80"/>
      <c r="J10" s="81"/>
      <c r="K10" s="72"/>
      <c r="L10" s="94"/>
      <c r="M10" s="71"/>
      <c r="N10" s="79"/>
      <c r="O10" s="25"/>
      <c r="P10" s="25"/>
      <c r="Q10" s="85" t="s">
        <v>34</v>
      </c>
      <c r="R10" s="86">
        <v>32709.754000000004</v>
      </c>
      <c r="S10" s="87">
        <v>0.38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81"/>
      <c r="AE10" s="72"/>
      <c r="AF10" s="96"/>
    </row>
    <row r="11" spans="2:32" x14ac:dyDescent="0.25">
      <c r="B11" s="93"/>
      <c r="C11" s="71"/>
      <c r="D11" s="79"/>
      <c r="E11" s="80"/>
      <c r="F11" s="80" t="s">
        <v>85</v>
      </c>
      <c r="G11" s="80"/>
      <c r="H11" s="80"/>
      <c r="I11" s="80"/>
      <c r="J11" s="81"/>
      <c r="K11" s="72"/>
      <c r="L11" s="94"/>
      <c r="M11" s="71"/>
      <c r="N11" s="79"/>
      <c r="O11" s="25"/>
      <c r="P11" s="25"/>
      <c r="Q11" s="85" t="s">
        <v>35</v>
      </c>
      <c r="R11" s="86">
        <v>32544.749999999993</v>
      </c>
      <c r="S11" s="87">
        <v>0.35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81"/>
      <c r="AE11" s="72"/>
      <c r="AF11" s="96"/>
    </row>
    <row r="12" spans="2:32" x14ac:dyDescent="0.25">
      <c r="B12" s="93"/>
      <c r="C12" s="71"/>
      <c r="D12" s="79"/>
      <c r="E12" s="80"/>
      <c r="F12" s="80" t="s">
        <v>86</v>
      </c>
      <c r="G12" s="80"/>
      <c r="H12" s="80"/>
      <c r="I12" s="80"/>
      <c r="J12" s="81"/>
      <c r="K12" s="72"/>
      <c r="L12" s="94"/>
      <c r="M12" s="71"/>
      <c r="N12" s="79"/>
      <c r="O12" s="25"/>
      <c r="P12" s="25"/>
      <c r="Q12" s="85" t="s">
        <v>15</v>
      </c>
      <c r="R12" s="86">
        <v>30512.235999999997</v>
      </c>
      <c r="S12" s="87">
        <v>0.41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81"/>
      <c r="AE12" s="72"/>
      <c r="AF12" s="96"/>
    </row>
    <row r="13" spans="2:32" x14ac:dyDescent="0.25">
      <c r="B13" s="93"/>
      <c r="C13" s="71"/>
      <c r="D13" s="79"/>
      <c r="E13" s="80"/>
      <c r="F13" s="80" t="s">
        <v>87</v>
      </c>
      <c r="G13" s="80"/>
      <c r="H13" s="80"/>
      <c r="I13" s="80"/>
      <c r="J13" s="81"/>
      <c r="K13" s="72"/>
      <c r="L13" s="94"/>
      <c r="M13" s="71"/>
      <c r="N13" s="79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81"/>
      <c r="AE13" s="72"/>
      <c r="AF13" s="96"/>
    </row>
    <row r="14" spans="2:32" x14ac:dyDescent="0.25">
      <c r="B14" s="93"/>
      <c r="C14" s="71"/>
      <c r="D14" s="79"/>
      <c r="E14" s="80"/>
      <c r="F14" s="80"/>
      <c r="G14" s="80"/>
      <c r="H14" s="80"/>
      <c r="I14" s="80"/>
      <c r="J14" s="81"/>
      <c r="K14" s="72"/>
      <c r="L14" s="94"/>
      <c r="M14" s="71"/>
      <c r="N14" s="79"/>
      <c r="O14" s="80" t="s">
        <v>118</v>
      </c>
      <c r="P14" s="80" t="s">
        <v>119</v>
      </c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25"/>
      <c r="AC14" s="80"/>
      <c r="AD14" s="81"/>
      <c r="AE14" s="72"/>
      <c r="AF14" s="96"/>
    </row>
    <row r="15" spans="2:32" x14ac:dyDescent="0.25">
      <c r="B15" s="93"/>
      <c r="C15" s="71"/>
      <c r="D15" s="79"/>
      <c r="E15" s="80" t="s">
        <v>116</v>
      </c>
      <c r="F15" s="80" t="s">
        <v>142</v>
      </c>
      <c r="G15" s="80"/>
      <c r="H15" s="80"/>
      <c r="I15" s="80"/>
      <c r="J15" s="81"/>
      <c r="K15" s="72"/>
      <c r="L15" s="94"/>
      <c r="M15" s="71"/>
      <c r="N15" s="79"/>
      <c r="O15" s="80"/>
      <c r="P15" s="80" t="s">
        <v>101</v>
      </c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25"/>
      <c r="AC15" s="80"/>
      <c r="AD15" s="81"/>
      <c r="AE15" s="72"/>
      <c r="AF15" s="96"/>
    </row>
    <row r="16" spans="2:32" x14ac:dyDescent="0.25">
      <c r="B16" s="93"/>
      <c r="C16" s="71"/>
      <c r="D16" s="79"/>
      <c r="E16" s="80"/>
      <c r="F16" s="80" t="s">
        <v>88</v>
      </c>
      <c r="G16" s="80"/>
      <c r="H16" s="80"/>
      <c r="I16" s="80"/>
      <c r="J16" s="81"/>
      <c r="K16" s="72"/>
      <c r="L16" s="94"/>
      <c r="M16" s="71"/>
      <c r="N16" s="79"/>
      <c r="O16" s="80"/>
      <c r="P16" s="80" t="s">
        <v>102</v>
      </c>
      <c r="Q16" s="80" t="s">
        <v>13</v>
      </c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25"/>
      <c r="AC16" s="80"/>
      <c r="AD16" s="81"/>
      <c r="AE16" s="72"/>
      <c r="AF16" s="96"/>
    </row>
    <row r="17" spans="2:32" x14ac:dyDescent="0.25">
      <c r="B17" s="93"/>
      <c r="C17" s="71"/>
      <c r="D17" s="79"/>
      <c r="E17" s="80"/>
      <c r="F17" s="80" t="s">
        <v>89</v>
      </c>
      <c r="G17" s="80"/>
      <c r="H17" s="80"/>
      <c r="I17" s="80"/>
      <c r="J17" s="81"/>
      <c r="K17" s="72"/>
      <c r="L17" s="94"/>
      <c r="M17" s="71"/>
      <c r="N17" s="79"/>
      <c r="O17" s="80"/>
      <c r="P17" s="80" t="s">
        <v>103</v>
      </c>
      <c r="Q17" s="80" t="s">
        <v>17</v>
      </c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25"/>
      <c r="AC17" s="80"/>
      <c r="AD17" s="81"/>
      <c r="AE17" s="72"/>
      <c r="AF17" s="96"/>
    </row>
    <row r="18" spans="2:32" x14ac:dyDescent="0.25">
      <c r="B18" s="93"/>
      <c r="C18" s="71"/>
      <c r="D18" s="79"/>
      <c r="E18" s="80"/>
      <c r="F18" s="80" t="s">
        <v>90</v>
      </c>
      <c r="G18" s="80"/>
      <c r="H18" s="80"/>
      <c r="I18" s="80"/>
      <c r="J18" s="81"/>
      <c r="K18" s="72"/>
      <c r="L18" s="94"/>
      <c r="M18" s="71"/>
      <c r="N18" s="79"/>
      <c r="O18" s="80"/>
      <c r="P18" s="80" t="s">
        <v>105</v>
      </c>
      <c r="Q18" s="80" t="s">
        <v>104</v>
      </c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25"/>
      <c r="AC18" s="80"/>
      <c r="AD18" s="81"/>
      <c r="AE18" s="72"/>
      <c r="AF18" s="96"/>
    </row>
    <row r="19" spans="2:32" x14ac:dyDescent="0.25">
      <c r="B19" s="93"/>
      <c r="C19" s="71"/>
      <c r="D19" s="79"/>
      <c r="E19" s="80"/>
      <c r="F19" s="80"/>
      <c r="G19" s="80"/>
      <c r="H19" s="80"/>
      <c r="I19" s="80"/>
      <c r="J19" s="81"/>
      <c r="K19" s="72"/>
      <c r="L19" s="94"/>
      <c r="M19" s="71"/>
      <c r="N19" s="79"/>
      <c r="O19" s="80"/>
      <c r="P19" s="80"/>
      <c r="Q19" s="80" t="s">
        <v>106</v>
      </c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25"/>
      <c r="AC19" s="80"/>
      <c r="AD19" s="81"/>
      <c r="AE19" s="72"/>
      <c r="AF19" s="96"/>
    </row>
    <row r="20" spans="2:32" x14ac:dyDescent="0.25">
      <c r="B20" s="93"/>
      <c r="C20" s="71"/>
      <c r="D20" s="79"/>
      <c r="E20" s="80" t="s">
        <v>143</v>
      </c>
      <c r="F20" s="80" t="s">
        <v>144</v>
      </c>
      <c r="G20" s="80"/>
      <c r="H20" s="80"/>
      <c r="I20" s="80"/>
      <c r="J20" s="81"/>
      <c r="K20" s="72"/>
      <c r="L20" s="94"/>
      <c r="M20" s="71"/>
      <c r="N20" s="79"/>
      <c r="O20" s="80"/>
      <c r="P20" s="80"/>
      <c r="Q20" s="80" t="s">
        <v>107</v>
      </c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25"/>
      <c r="AC20" s="80"/>
      <c r="AD20" s="81"/>
      <c r="AE20" s="72"/>
      <c r="AF20" s="96"/>
    </row>
    <row r="21" spans="2:32" x14ac:dyDescent="0.25">
      <c r="B21" s="93"/>
      <c r="C21" s="71"/>
      <c r="D21" s="79"/>
      <c r="E21" s="80"/>
      <c r="F21" s="80" t="s">
        <v>91</v>
      </c>
      <c r="G21" s="80"/>
      <c r="H21" s="80"/>
      <c r="I21" s="80"/>
      <c r="J21" s="81"/>
      <c r="K21" s="72"/>
      <c r="L21" s="94"/>
      <c r="M21" s="71"/>
      <c r="N21" s="79"/>
      <c r="O21" s="80"/>
      <c r="P21" s="80"/>
      <c r="Q21" s="80" t="s">
        <v>121</v>
      </c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25"/>
      <c r="AC21" s="80"/>
      <c r="AD21" s="81"/>
      <c r="AE21" s="72"/>
      <c r="AF21" s="96"/>
    </row>
    <row r="22" spans="2:32" x14ac:dyDescent="0.25">
      <c r="B22" s="93"/>
      <c r="C22" s="71"/>
      <c r="D22" s="79"/>
      <c r="E22" s="80"/>
      <c r="F22" s="80" t="s">
        <v>92</v>
      </c>
      <c r="G22" s="80"/>
      <c r="H22" s="80"/>
      <c r="I22" s="80"/>
      <c r="J22" s="81"/>
      <c r="K22" s="72"/>
      <c r="L22" s="94"/>
      <c r="M22" s="71"/>
      <c r="N22" s="79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80"/>
      <c r="AD22" s="81"/>
      <c r="AE22" s="72"/>
      <c r="AF22" s="96"/>
    </row>
    <row r="23" spans="2:32" x14ac:dyDescent="0.25">
      <c r="B23" s="93"/>
      <c r="C23" s="71"/>
      <c r="D23" s="79"/>
      <c r="E23" s="80"/>
      <c r="F23" s="80" t="s">
        <v>93</v>
      </c>
      <c r="G23" s="80"/>
      <c r="H23" s="80"/>
      <c r="I23" s="80"/>
      <c r="J23" s="81"/>
      <c r="K23" s="72"/>
      <c r="L23" s="94"/>
      <c r="M23" s="71"/>
      <c r="N23" s="79"/>
      <c r="O23" s="80" t="s">
        <v>116</v>
      </c>
      <c r="P23" s="80" t="s">
        <v>117</v>
      </c>
      <c r="Q23" s="80"/>
      <c r="R23" s="80"/>
      <c r="S23" s="80"/>
      <c r="T23" s="80"/>
      <c r="U23" s="25"/>
      <c r="V23" s="25"/>
      <c r="W23" s="25"/>
      <c r="X23" s="25"/>
      <c r="Y23" s="25"/>
      <c r="Z23" s="25"/>
      <c r="AA23" s="25"/>
      <c r="AB23" s="25"/>
      <c r="AC23" s="80"/>
      <c r="AD23" s="81"/>
      <c r="AE23" s="72"/>
      <c r="AF23" s="96"/>
    </row>
    <row r="24" spans="2:32" x14ac:dyDescent="0.25">
      <c r="B24" s="93"/>
      <c r="C24" s="71"/>
      <c r="D24" s="79"/>
      <c r="E24" s="80"/>
      <c r="F24" s="80" t="s">
        <v>94</v>
      </c>
      <c r="G24" s="80"/>
      <c r="H24" s="80"/>
      <c r="I24" s="80"/>
      <c r="J24" s="81"/>
      <c r="K24" s="72"/>
      <c r="L24" s="94"/>
      <c r="M24" s="71"/>
      <c r="N24" s="79"/>
      <c r="O24" s="80"/>
      <c r="P24" s="80" t="s">
        <v>111</v>
      </c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25"/>
      <c r="AC24" s="80"/>
      <c r="AD24" s="81"/>
      <c r="AE24" s="72"/>
      <c r="AF24" s="96"/>
    </row>
    <row r="25" spans="2:32" x14ac:dyDescent="0.25">
      <c r="B25" s="93"/>
      <c r="C25" s="71"/>
      <c r="D25" s="79"/>
      <c r="E25" s="80"/>
      <c r="F25" s="80"/>
      <c r="G25" s="80"/>
      <c r="H25" s="80"/>
      <c r="I25" s="80"/>
      <c r="J25" s="81"/>
      <c r="K25" s="72"/>
      <c r="L25" s="94"/>
      <c r="M25" s="71"/>
      <c r="N25" s="79"/>
      <c r="O25" s="80"/>
      <c r="P25" s="80" t="s">
        <v>109</v>
      </c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25"/>
      <c r="AC25" s="80"/>
      <c r="AD25" s="81"/>
      <c r="AE25" s="72"/>
      <c r="AF25" s="96"/>
    </row>
    <row r="26" spans="2:32" x14ac:dyDescent="0.25">
      <c r="B26" s="93"/>
      <c r="C26" s="71"/>
      <c r="D26" s="79"/>
      <c r="E26" s="80" t="s">
        <v>145</v>
      </c>
      <c r="F26" s="80" t="s">
        <v>146</v>
      </c>
      <c r="G26" s="80"/>
      <c r="H26" s="80"/>
      <c r="I26" s="80"/>
      <c r="J26" s="81"/>
      <c r="K26" s="72"/>
      <c r="L26" s="94"/>
      <c r="M26" s="71"/>
      <c r="N26" s="79"/>
      <c r="O26" s="80"/>
      <c r="P26" s="80" t="s">
        <v>108</v>
      </c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25"/>
      <c r="AC26" s="80"/>
      <c r="AD26" s="81"/>
      <c r="AE26" s="72"/>
      <c r="AF26" s="96"/>
    </row>
    <row r="27" spans="2:32" x14ac:dyDescent="0.25">
      <c r="B27" s="93"/>
      <c r="C27" s="71"/>
      <c r="D27" s="79"/>
      <c r="E27" s="80"/>
      <c r="F27" s="80" t="s">
        <v>95</v>
      </c>
      <c r="G27" s="80"/>
      <c r="H27" s="80"/>
      <c r="I27" s="80"/>
      <c r="J27" s="81"/>
      <c r="K27" s="72"/>
      <c r="L27" s="94"/>
      <c r="M27" s="71"/>
      <c r="N27" s="79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25"/>
      <c r="AC27" s="80"/>
      <c r="AD27" s="81"/>
      <c r="AE27" s="72"/>
      <c r="AF27" s="96"/>
    </row>
    <row r="28" spans="2:32" x14ac:dyDescent="0.25">
      <c r="B28" s="93"/>
      <c r="C28" s="71"/>
      <c r="D28" s="79"/>
      <c r="E28" s="80"/>
      <c r="F28" s="80" t="s">
        <v>96</v>
      </c>
      <c r="G28" s="80"/>
      <c r="H28" s="80"/>
      <c r="I28" s="80"/>
      <c r="J28" s="81"/>
      <c r="K28" s="72"/>
      <c r="L28" s="94"/>
      <c r="M28" s="71"/>
      <c r="N28" s="79"/>
      <c r="O28" s="80" t="s">
        <v>110</v>
      </c>
      <c r="P28" s="80" t="s">
        <v>123</v>
      </c>
      <c r="Q28" s="80" t="s">
        <v>130</v>
      </c>
      <c r="R28" s="80"/>
      <c r="S28" s="80"/>
      <c r="T28" s="80"/>
      <c r="U28" s="80"/>
      <c r="V28" s="80"/>
      <c r="W28" s="80"/>
      <c r="X28" s="80"/>
      <c r="Y28" s="25"/>
      <c r="Z28" s="25"/>
      <c r="AA28" s="25"/>
      <c r="AB28" s="25"/>
      <c r="AC28" s="25"/>
      <c r="AD28" s="81"/>
      <c r="AE28" s="72"/>
      <c r="AF28" s="96"/>
    </row>
    <row r="29" spans="2:32" x14ac:dyDescent="0.25">
      <c r="B29" s="93"/>
      <c r="C29" s="71"/>
      <c r="D29" s="79"/>
      <c r="E29" s="80"/>
      <c r="F29" s="80"/>
      <c r="G29" s="80"/>
      <c r="H29" s="80"/>
      <c r="I29" s="80"/>
      <c r="J29" s="81"/>
      <c r="K29" s="72"/>
      <c r="L29" s="94"/>
      <c r="M29" s="71"/>
      <c r="N29" s="79"/>
      <c r="O29" s="80"/>
      <c r="P29" s="25"/>
      <c r="Q29" s="80" t="s">
        <v>131</v>
      </c>
      <c r="R29" s="80"/>
      <c r="S29" s="80"/>
      <c r="T29" s="25"/>
      <c r="U29" s="80"/>
      <c r="V29" s="25"/>
      <c r="W29" s="25"/>
      <c r="X29" s="25"/>
      <c r="Y29" s="25"/>
      <c r="Z29" s="80"/>
      <c r="AA29" s="80"/>
      <c r="AB29" s="25"/>
      <c r="AC29" s="80"/>
      <c r="AD29" s="81"/>
      <c r="AE29" s="72"/>
      <c r="AF29" s="96"/>
    </row>
    <row r="30" spans="2:32" x14ac:dyDescent="0.25">
      <c r="B30" s="93"/>
      <c r="C30" s="71"/>
      <c r="D30" s="82"/>
      <c r="E30" s="83"/>
      <c r="F30" s="83"/>
      <c r="G30" s="83"/>
      <c r="H30" s="83"/>
      <c r="I30" s="83"/>
      <c r="J30" s="84"/>
      <c r="K30" s="72"/>
      <c r="L30" s="94"/>
      <c r="M30" s="71"/>
      <c r="N30" s="79"/>
      <c r="O30" s="80"/>
      <c r="P30" s="80" t="s">
        <v>124</v>
      </c>
      <c r="Q30" s="80" t="s">
        <v>128</v>
      </c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25"/>
      <c r="AD30" s="81"/>
      <c r="AE30" s="72"/>
      <c r="AF30" s="96"/>
    </row>
    <row r="31" spans="2:32" ht="18.75" customHeight="1" x14ac:dyDescent="0.25">
      <c r="B31" s="93"/>
      <c r="C31" s="73"/>
      <c r="D31" s="74"/>
      <c r="E31" s="74"/>
      <c r="F31" s="74"/>
      <c r="G31" s="74"/>
      <c r="H31" s="74"/>
      <c r="I31" s="74"/>
      <c r="J31" s="74"/>
      <c r="K31" s="75"/>
      <c r="L31" s="94"/>
      <c r="M31" s="71"/>
      <c r="N31" s="79"/>
      <c r="O31" s="80"/>
      <c r="P31" s="25"/>
      <c r="Q31" s="25" t="s">
        <v>129</v>
      </c>
      <c r="R31" s="25"/>
      <c r="S31" s="25"/>
      <c r="T31" s="25"/>
      <c r="U31" s="25"/>
      <c r="V31" s="80"/>
      <c r="W31" s="80"/>
      <c r="X31" s="80"/>
      <c r="Y31" s="80"/>
      <c r="Z31" s="25"/>
      <c r="AA31" s="25"/>
      <c r="AB31" s="25"/>
      <c r="AC31" s="25"/>
      <c r="AD31" s="81"/>
      <c r="AE31" s="72"/>
      <c r="AF31" s="96"/>
    </row>
    <row r="32" spans="2:32" x14ac:dyDescent="0.25"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71"/>
      <c r="N32" s="79"/>
      <c r="O32" s="80"/>
      <c r="P32" s="25"/>
      <c r="Q32" s="25" t="s">
        <v>132</v>
      </c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81"/>
      <c r="AE32" s="72"/>
      <c r="AF32" s="96"/>
    </row>
    <row r="33" spans="2:32" x14ac:dyDescent="0.25"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71"/>
      <c r="N33" s="79"/>
      <c r="O33" s="80"/>
      <c r="P33" s="88" t="s">
        <v>125</v>
      </c>
      <c r="Q33" s="25" t="s">
        <v>126</v>
      </c>
      <c r="R33" s="25"/>
      <c r="S33" s="25"/>
      <c r="T33" s="25"/>
      <c r="U33" s="80"/>
      <c r="V33" s="25"/>
      <c r="W33" s="25"/>
      <c r="X33" s="25"/>
      <c r="Y33" s="25"/>
      <c r="Z33" s="25"/>
      <c r="AA33" s="25"/>
      <c r="AB33" s="25"/>
      <c r="AC33" s="25"/>
      <c r="AD33" s="81"/>
      <c r="AE33" s="72"/>
      <c r="AF33" s="96"/>
    </row>
    <row r="34" spans="2:32" x14ac:dyDescent="0.25"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71"/>
      <c r="N34" s="79"/>
      <c r="O34" s="80"/>
      <c r="P34" s="25"/>
      <c r="Q34" s="25" t="s">
        <v>122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81"/>
      <c r="AE34" s="72"/>
      <c r="AF34" s="96"/>
    </row>
    <row r="35" spans="2:32" x14ac:dyDescent="0.25">
      <c r="B35" s="93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71"/>
      <c r="N35" s="79"/>
      <c r="O35" s="80"/>
      <c r="P35" s="89" t="s">
        <v>127</v>
      </c>
      <c r="Q35" s="25" t="s">
        <v>135</v>
      </c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81"/>
      <c r="AE35" s="72"/>
      <c r="AF35" s="96"/>
    </row>
    <row r="36" spans="2:32" x14ac:dyDescent="0.25"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71"/>
      <c r="N36" s="79"/>
      <c r="O36" s="80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81"/>
      <c r="AE36" s="72"/>
      <c r="AF36" s="96"/>
    </row>
    <row r="37" spans="2:32" x14ac:dyDescent="0.25"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71"/>
      <c r="N37" s="79"/>
      <c r="O37" s="80" t="s">
        <v>136</v>
      </c>
      <c r="P37" s="25" t="s">
        <v>137</v>
      </c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81"/>
      <c r="AE37" s="72"/>
      <c r="AF37" s="96"/>
    </row>
    <row r="38" spans="2:32" x14ac:dyDescent="0.25">
      <c r="B38" s="93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71"/>
      <c r="N38" s="79"/>
      <c r="O38" s="80"/>
      <c r="P38" s="25" t="s">
        <v>138</v>
      </c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81"/>
      <c r="AE38" s="72"/>
      <c r="AF38" s="96"/>
    </row>
    <row r="39" spans="2:32" x14ac:dyDescent="0.25">
      <c r="B39" s="93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71"/>
      <c r="N39" s="79"/>
      <c r="O39" s="80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81"/>
      <c r="AE39" s="72"/>
      <c r="AF39" s="96"/>
    </row>
    <row r="40" spans="2:32" x14ac:dyDescent="0.25">
      <c r="B40" s="93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71"/>
      <c r="N40" s="82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4"/>
      <c r="AE40" s="72"/>
      <c r="AF40" s="96"/>
    </row>
    <row r="41" spans="2:32" x14ac:dyDescent="0.25">
      <c r="B41" s="93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73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5"/>
      <c r="AF41" s="96"/>
    </row>
    <row r="42" spans="2:32" x14ac:dyDescent="0.25"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9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4A5F-C23F-49A4-9AEE-910352A0B161}">
  <dimension ref="A1:T116"/>
  <sheetViews>
    <sheetView showGridLines="0" zoomScale="85" zoomScaleNormal="85" workbookViewId="0">
      <selection activeCell="S12" sqref="S12"/>
    </sheetView>
  </sheetViews>
  <sheetFormatPr defaultRowHeight="15" x14ac:dyDescent="0.25"/>
  <cols>
    <col min="1" max="1" width="4.42578125" customWidth="1"/>
    <col min="2" max="2" width="4.7109375" customWidth="1"/>
    <col min="3" max="3" width="4.42578125" customWidth="1"/>
    <col min="4" max="4" width="5.85546875" style="2" customWidth="1"/>
    <col min="5" max="5" width="15" style="2" customWidth="1"/>
    <col min="6" max="6" width="14.28515625" style="2" customWidth="1"/>
    <col min="7" max="7" width="11.28515625" style="2" customWidth="1"/>
    <col min="8" max="8" width="12.7109375" style="2" customWidth="1"/>
    <col min="9" max="9" width="13.85546875" style="2" customWidth="1"/>
    <col min="10" max="10" width="14" style="8" customWidth="1"/>
    <col min="11" max="11" width="13.85546875" style="8" customWidth="1"/>
    <col min="12" max="12" width="23.5703125" style="8" customWidth="1"/>
    <col min="13" max="13" width="18.85546875" style="8" bestFit="1" customWidth="1"/>
    <col min="14" max="14" width="23.5703125" style="8" bestFit="1" customWidth="1"/>
    <col min="15" max="15" width="20.42578125" style="8" customWidth="1"/>
    <col min="16" max="18" width="4.42578125" style="8" customWidth="1"/>
    <col min="19" max="19" width="17.140625" style="9" customWidth="1"/>
    <col min="20" max="20" width="15.140625" customWidth="1"/>
    <col min="21" max="21" width="11" bestFit="1" customWidth="1"/>
    <col min="22" max="22" width="13.5703125" bestFit="1" customWidth="1"/>
    <col min="23" max="24" width="10" bestFit="1" customWidth="1"/>
    <col min="25" max="25" width="9.42578125" bestFit="1" customWidth="1"/>
    <col min="26" max="26" width="10.5703125" bestFit="1" customWidth="1"/>
    <col min="27" max="27" width="7" bestFit="1" customWidth="1"/>
    <col min="28" max="28" width="11" bestFit="1" customWidth="1"/>
    <col min="29" max="29" width="8" bestFit="1" customWidth="1"/>
    <col min="30" max="31" width="7" bestFit="1" customWidth="1"/>
    <col min="32" max="32" width="8" bestFit="1" customWidth="1"/>
    <col min="33" max="33" width="7" bestFit="1" customWidth="1"/>
    <col min="34" max="34" width="8" bestFit="1" customWidth="1"/>
    <col min="35" max="35" width="4" bestFit="1" customWidth="1"/>
    <col min="36" max="36" width="7" bestFit="1" customWidth="1"/>
    <col min="37" max="37" width="4" bestFit="1" customWidth="1"/>
    <col min="38" max="42" width="8" bestFit="1" customWidth="1"/>
    <col min="43" max="43" width="7" bestFit="1" customWidth="1"/>
    <col min="44" max="51" width="8" bestFit="1" customWidth="1"/>
    <col min="52" max="52" width="6" bestFit="1" customWidth="1"/>
    <col min="53" max="54" width="7" bestFit="1" customWidth="1"/>
    <col min="55" max="55" width="6" bestFit="1" customWidth="1"/>
    <col min="56" max="57" width="7" bestFit="1" customWidth="1"/>
    <col min="58" max="59" width="8" bestFit="1" customWidth="1"/>
    <col min="60" max="61" width="6" bestFit="1" customWidth="1"/>
    <col min="62" max="63" width="8" bestFit="1" customWidth="1"/>
    <col min="64" max="65" width="7" bestFit="1" customWidth="1"/>
    <col min="66" max="68" width="8" bestFit="1" customWidth="1"/>
    <col min="69" max="69" width="7" bestFit="1" customWidth="1"/>
    <col min="70" max="74" width="8" bestFit="1" customWidth="1"/>
    <col min="75" max="75" width="6" bestFit="1" customWidth="1"/>
    <col min="76" max="80" width="8" bestFit="1" customWidth="1"/>
    <col min="81" max="81" width="7" bestFit="1" customWidth="1"/>
    <col min="82" max="82" width="8" bestFit="1" customWidth="1"/>
    <col min="83" max="83" width="7" bestFit="1" customWidth="1"/>
    <col min="84" max="84" width="8" bestFit="1" customWidth="1"/>
    <col min="85" max="87" width="7" bestFit="1" customWidth="1"/>
    <col min="88" max="88" width="8" bestFit="1" customWidth="1"/>
    <col min="89" max="99" width="9" bestFit="1" customWidth="1"/>
    <col min="100" max="100" width="8" bestFit="1" customWidth="1"/>
    <col min="101" max="101" width="9" bestFit="1" customWidth="1"/>
    <col min="102" max="102" width="8" bestFit="1" customWidth="1"/>
    <col min="103" max="103" width="9" bestFit="1" customWidth="1"/>
    <col min="104" max="104" width="8" bestFit="1" customWidth="1"/>
    <col min="105" max="113" width="9" bestFit="1" customWidth="1"/>
    <col min="114" max="114" width="8" bestFit="1" customWidth="1"/>
    <col min="115" max="119" width="9" bestFit="1" customWidth="1"/>
    <col min="120" max="120" width="8" bestFit="1" customWidth="1"/>
    <col min="121" max="121" width="7" bestFit="1" customWidth="1"/>
    <col min="122" max="127" width="9" bestFit="1" customWidth="1"/>
    <col min="128" max="128" width="8" bestFit="1" customWidth="1"/>
    <col min="129" max="129" width="9" bestFit="1" customWidth="1"/>
    <col min="130" max="131" width="8" bestFit="1" customWidth="1"/>
    <col min="132" max="133" width="9" bestFit="1" customWidth="1"/>
    <col min="134" max="134" width="8" bestFit="1" customWidth="1"/>
    <col min="135" max="137" width="9" bestFit="1" customWidth="1"/>
    <col min="138" max="138" width="7" bestFit="1" customWidth="1"/>
    <col min="139" max="142" width="9" bestFit="1" customWidth="1"/>
    <col min="143" max="143" width="8" bestFit="1" customWidth="1"/>
    <col min="144" max="146" width="9" bestFit="1" customWidth="1"/>
    <col min="147" max="147" width="8" bestFit="1" customWidth="1"/>
    <col min="148" max="149" width="9" bestFit="1" customWidth="1"/>
    <col min="150" max="151" width="8" bestFit="1" customWidth="1"/>
    <col min="152" max="152" width="9" bestFit="1" customWidth="1"/>
    <col min="153" max="154" width="8" bestFit="1" customWidth="1"/>
    <col min="155" max="156" width="9" bestFit="1" customWidth="1"/>
    <col min="157" max="157" width="7" bestFit="1" customWidth="1"/>
    <col min="158" max="158" width="8" bestFit="1" customWidth="1"/>
    <col min="159" max="161" width="9" bestFit="1" customWidth="1"/>
    <col min="162" max="162" width="8" bestFit="1" customWidth="1"/>
    <col min="163" max="163" width="9" bestFit="1" customWidth="1"/>
    <col min="164" max="164" width="7" bestFit="1" customWidth="1"/>
    <col min="165" max="165" width="9" bestFit="1" customWidth="1"/>
    <col min="166" max="167" width="8" bestFit="1" customWidth="1"/>
    <col min="168" max="169" width="9" bestFit="1" customWidth="1"/>
    <col min="170" max="172" width="8" bestFit="1" customWidth="1"/>
    <col min="173" max="173" width="9" bestFit="1" customWidth="1"/>
    <col min="174" max="175" width="8" bestFit="1" customWidth="1"/>
    <col min="176" max="176" width="9" bestFit="1" customWidth="1"/>
    <col min="177" max="177" width="7" bestFit="1" customWidth="1"/>
    <col min="178" max="181" width="9" bestFit="1" customWidth="1"/>
    <col min="182" max="182" width="8" bestFit="1" customWidth="1"/>
    <col min="183" max="183" width="9" bestFit="1" customWidth="1"/>
    <col min="184" max="184" width="8" bestFit="1" customWidth="1"/>
    <col min="185" max="185" width="7" bestFit="1" customWidth="1"/>
    <col min="186" max="187" width="8" bestFit="1" customWidth="1"/>
    <col min="188" max="189" width="9" bestFit="1" customWidth="1"/>
    <col min="190" max="190" width="8" bestFit="1" customWidth="1"/>
    <col min="191" max="191" width="9" bestFit="1" customWidth="1"/>
    <col min="192" max="193" width="8" bestFit="1" customWidth="1"/>
    <col min="194" max="196" width="9" bestFit="1" customWidth="1"/>
    <col min="197" max="197" width="8" bestFit="1" customWidth="1"/>
    <col min="198" max="198" width="9" bestFit="1" customWidth="1"/>
    <col min="199" max="201" width="8" bestFit="1" customWidth="1"/>
    <col min="202" max="215" width="9" bestFit="1" customWidth="1"/>
    <col min="216" max="216" width="8" bestFit="1" customWidth="1"/>
    <col min="217" max="218" width="9" bestFit="1" customWidth="1"/>
    <col min="219" max="220" width="8" bestFit="1" customWidth="1"/>
    <col min="221" max="225" width="9" bestFit="1" customWidth="1"/>
    <col min="226" max="226" width="7" bestFit="1" customWidth="1"/>
    <col min="227" max="227" width="9" bestFit="1" customWidth="1"/>
    <col min="228" max="231" width="8" bestFit="1" customWidth="1"/>
    <col min="232" max="236" width="9" bestFit="1" customWidth="1"/>
    <col min="237" max="237" width="8" bestFit="1" customWidth="1"/>
    <col min="238" max="242" width="9" bestFit="1" customWidth="1"/>
    <col min="243" max="243" width="8" bestFit="1" customWidth="1"/>
    <col min="244" max="246" width="9" bestFit="1" customWidth="1"/>
    <col min="247" max="247" width="8" bestFit="1" customWidth="1"/>
    <col min="248" max="248" width="9" bestFit="1" customWidth="1"/>
    <col min="249" max="249" width="8" bestFit="1" customWidth="1"/>
    <col min="250" max="250" width="9" bestFit="1" customWidth="1"/>
    <col min="251" max="251" width="8" bestFit="1" customWidth="1"/>
    <col min="252" max="255" width="9" bestFit="1" customWidth="1"/>
    <col min="256" max="257" width="8" bestFit="1" customWidth="1"/>
    <col min="258" max="259" width="7" bestFit="1" customWidth="1"/>
    <col min="260" max="260" width="8" bestFit="1" customWidth="1"/>
    <col min="261" max="265" width="9" bestFit="1" customWidth="1"/>
    <col min="266" max="268" width="8" bestFit="1" customWidth="1"/>
    <col min="269" max="269" width="9" bestFit="1" customWidth="1"/>
    <col min="270" max="270" width="8" bestFit="1" customWidth="1"/>
    <col min="271" max="271" width="9" bestFit="1" customWidth="1"/>
    <col min="272" max="272" width="8" bestFit="1" customWidth="1"/>
    <col min="273" max="275" width="9" bestFit="1" customWidth="1"/>
    <col min="276" max="276" width="7" bestFit="1" customWidth="1"/>
    <col min="277" max="279" width="8" bestFit="1" customWidth="1"/>
    <col min="280" max="280" width="7" bestFit="1" customWidth="1"/>
    <col min="281" max="281" width="9" bestFit="1" customWidth="1"/>
    <col min="282" max="282" width="8" bestFit="1" customWidth="1"/>
    <col min="283" max="283" width="9" bestFit="1" customWidth="1"/>
    <col min="284" max="284" width="8" bestFit="1" customWidth="1"/>
    <col min="285" max="285" width="9" bestFit="1" customWidth="1"/>
    <col min="286" max="286" width="8" bestFit="1" customWidth="1"/>
    <col min="287" max="287" width="9" bestFit="1" customWidth="1"/>
    <col min="288" max="288" width="8" bestFit="1" customWidth="1"/>
    <col min="289" max="292" width="9" bestFit="1" customWidth="1"/>
    <col min="293" max="294" width="8" bestFit="1" customWidth="1"/>
    <col min="295" max="295" width="9" bestFit="1" customWidth="1"/>
    <col min="296" max="296" width="5" bestFit="1" customWidth="1"/>
    <col min="297" max="299" width="9" bestFit="1" customWidth="1"/>
    <col min="300" max="302" width="8" bestFit="1" customWidth="1"/>
    <col min="303" max="304" width="9" bestFit="1" customWidth="1"/>
    <col min="305" max="306" width="8" bestFit="1" customWidth="1"/>
    <col min="307" max="308" width="9" bestFit="1" customWidth="1"/>
    <col min="309" max="309" width="8" bestFit="1" customWidth="1"/>
    <col min="310" max="310" width="7" bestFit="1" customWidth="1"/>
    <col min="311" max="312" width="8" bestFit="1" customWidth="1"/>
    <col min="313" max="313" width="7" bestFit="1" customWidth="1"/>
    <col min="314" max="314" width="10.7109375" bestFit="1" customWidth="1"/>
  </cols>
  <sheetData>
    <row r="1" spans="1:19" ht="23.25" customHeight="1" x14ac:dyDescent="0.25">
      <c r="B1" s="114"/>
      <c r="C1" s="114"/>
      <c r="D1" s="111"/>
      <c r="E1" s="111"/>
      <c r="F1" s="111"/>
      <c r="G1" s="111"/>
      <c r="H1" s="111"/>
      <c r="I1" s="111"/>
      <c r="J1" s="112"/>
      <c r="K1" s="112"/>
      <c r="L1" s="112"/>
      <c r="M1" s="112"/>
      <c r="N1" s="112"/>
      <c r="O1" s="112"/>
      <c r="P1" s="112"/>
      <c r="Q1" s="112"/>
      <c r="R1" s="112"/>
      <c r="S1" s="110"/>
    </row>
    <row r="2" spans="1:19" ht="23.25" customHeight="1" x14ac:dyDescent="0.25">
      <c r="A2" s="116"/>
      <c r="B2" s="127"/>
      <c r="C2" s="74"/>
      <c r="D2" s="128"/>
      <c r="E2" s="128"/>
      <c r="F2" s="128"/>
      <c r="G2" s="128"/>
      <c r="H2" s="128"/>
      <c r="I2" s="128"/>
      <c r="J2" s="129"/>
      <c r="K2" s="129"/>
      <c r="L2" s="129"/>
      <c r="M2" s="129"/>
      <c r="N2" s="129"/>
      <c r="O2" s="129"/>
      <c r="P2" s="129"/>
      <c r="Q2" s="129"/>
      <c r="R2" s="130"/>
    </row>
    <row r="3" spans="1:19" ht="22.5" customHeight="1" x14ac:dyDescent="0.25">
      <c r="A3" s="116"/>
      <c r="B3" s="72"/>
      <c r="C3" s="117"/>
      <c r="D3" s="118"/>
      <c r="E3" s="118"/>
      <c r="F3" s="118"/>
      <c r="G3" s="118"/>
      <c r="H3" s="118"/>
      <c r="I3" s="118"/>
      <c r="J3" s="119"/>
      <c r="K3" s="119"/>
      <c r="L3" s="119"/>
      <c r="M3" s="119"/>
      <c r="N3" s="119"/>
      <c r="O3" s="119"/>
      <c r="P3" s="119"/>
      <c r="Q3" s="120"/>
      <c r="R3" s="130"/>
    </row>
    <row r="4" spans="1:19" ht="30.75" customHeight="1" x14ac:dyDescent="0.25">
      <c r="A4" s="116"/>
      <c r="B4" s="72"/>
      <c r="C4" s="117"/>
      <c r="D4" s="105"/>
      <c r="E4" s="106"/>
      <c r="F4" s="106"/>
      <c r="G4" s="106"/>
      <c r="H4" s="106"/>
      <c r="I4" s="106"/>
      <c r="J4" s="107"/>
      <c r="K4" s="107"/>
      <c r="L4" s="107"/>
      <c r="M4" s="107"/>
      <c r="N4" s="107"/>
      <c r="O4" s="107"/>
      <c r="P4" s="108"/>
      <c r="Q4" s="126"/>
      <c r="R4" s="130"/>
    </row>
    <row r="5" spans="1:19" ht="30" customHeight="1" x14ac:dyDescent="0.25">
      <c r="A5" s="116"/>
      <c r="B5" s="72"/>
      <c r="C5" s="117"/>
      <c r="D5" s="45"/>
      <c r="E5" s="3"/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P5" s="109"/>
      <c r="Q5" s="126"/>
      <c r="R5" s="130"/>
    </row>
    <row r="6" spans="1:19" ht="18" customHeight="1" x14ac:dyDescent="0.25">
      <c r="A6" s="116"/>
      <c r="B6" s="72"/>
      <c r="C6" s="117"/>
      <c r="D6" s="45"/>
      <c r="E6" s="7" t="s">
        <v>10</v>
      </c>
      <c r="F6" s="4">
        <f>AVERAGE(Planilha1[Receita])</f>
        <v>3105.1282399999996</v>
      </c>
      <c r="G6" s="4">
        <f>MEDIAN(Planilha1[Receita])</f>
        <v>2780.9520000000002</v>
      </c>
      <c r="H6" s="4">
        <f>MIN(Planilha1[Receita])</f>
        <v>37.222000000000001</v>
      </c>
      <c r="I6" s="3">
        <f>MAX(Planilha1[Receita])</f>
        <v>9946.2199999999993</v>
      </c>
      <c r="J6" s="4">
        <f>_xlfn.STDEV.S(Planilha1[Receita])</f>
        <v>2314.5608552768554</v>
      </c>
      <c r="N6" s="48"/>
      <c r="P6" s="109"/>
      <c r="Q6" s="126"/>
      <c r="R6" s="130"/>
    </row>
    <row r="7" spans="1:19" x14ac:dyDescent="0.25">
      <c r="A7" s="116"/>
      <c r="B7" s="72"/>
      <c r="C7" s="117"/>
      <c r="D7" s="45"/>
      <c r="E7" s="7" t="s">
        <v>9</v>
      </c>
      <c r="F7" s="4">
        <f>AVERAGE(Planilha1[Lucro])</f>
        <v>1078.0376000000012</v>
      </c>
      <c r="G7" s="4">
        <f>MEDIAN(Planilha1[Lucro])</f>
        <v>863.00399999999991</v>
      </c>
      <c r="H7" s="4">
        <f>MIN(Planilha1[Lucro])</f>
        <v>9.484</v>
      </c>
      <c r="I7" s="3">
        <f>MAX(Planilha1[Lucro])</f>
        <v>3965.04</v>
      </c>
      <c r="J7" s="4">
        <f>_xlfn.STDEV.S(Planilha1[Lucro])</f>
        <v>891.54478606472378</v>
      </c>
      <c r="K7" s="2"/>
      <c r="N7" s="2"/>
      <c r="P7" s="109"/>
      <c r="Q7" s="126"/>
      <c r="R7" s="131"/>
    </row>
    <row r="8" spans="1:19" x14ac:dyDescent="0.25">
      <c r="A8" s="116"/>
      <c r="B8" s="72"/>
      <c r="C8" s="117"/>
      <c r="D8" s="45"/>
      <c r="E8" s="7" t="s">
        <v>6</v>
      </c>
      <c r="F8" s="4">
        <f>AVERAGE(Planilha1[Quantidade])</f>
        <v>5.8166666666666664</v>
      </c>
      <c r="G8" s="5">
        <f>MEDIAN(Planilha1[Quantidade])</f>
        <v>6</v>
      </c>
      <c r="H8" s="5">
        <f>MIN(Planilha1[Quantidade])</f>
        <v>1</v>
      </c>
      <c r="I8" s="3">
        <f>MAX(Planilha1[Quantidade])</f>
        <v>10</v>
      </c>
      <c r="J8" s="4">
        <f>_xlfn.STDEV.S(Planilha1[Quantidade])</f>
        <v>2.9391354646939338</v>
      </c>
      <c r="N8" s="46"/>
      <c r="P8" s="109"/>
      <c r="Q8" s="126"/>
      <c r="R8" s="130"/>
    </row>
    <row r="9" spans="1:19" x14ac:dyDescent="0.25">
      <c r="A9" s="116"/>
      <c r="B9" s="72"/>
      <c r="C9" s="117"/>
      <c r="D9" s="45"/>
      <c r="E9" s="7" t="s">
        <v>50</v>
      </c>
      <c r="F9" s="4">
        <f>AVERAGE(Planilha1[Preco_Unitario])</f>
        <v>531.81112000000019</v>
      </c>
      <c r="G9" s="4">
        <f>MEDIAN(Planilha1[Preco_Unitario])</f>
        <v>557.11500000000001</v>
      </c>
      <c r="H9" s="4">
        <f>MIN(Planilha1[Preco_Unitario])</f>
        <v>34.902000000000001</v>
      </c>
      <c r="I9" s="4">
        <f>MAX(Planilha1[Preco_Unitario])</f>
        <v>994.62199999999996</v>
      </c>
      <c r="J9" s="4">
        <f>_xlfn.STDEV.S(Planilha1[Preco_Unitario])</f>
        <v>274.11194607017688</v>
      </c>
      <c r="N9" s="46"/>
      <c r="P9" s="109"/>
      <c r="Q9" s="126"/>
      <c r="R9" s="130"/>
    </row>
    <row r="10" spans="1:19" x14ac:dyDescent="0.25">
      <c r="A10" s="116"/>
      <c r="B10" s="72"/>
      <c r="C10" s="117"/>
      <c r="D10" s="45"/>
      <c r="E10" s="8"/>
      <c r="F10" s="8"/>
      <c r="J10" s="2"/>
      <c r="N10" s="46"/>
      <c r="P10" s="109"/>
      <c r="Q10" s="126"/>
      <c r="R10" s="130"/>
    </row>
    <row r="11" spans="1:19" ht="15.75" x14ac:dyDescent="0.25">
      <c r="A11" s="116"/>
      <c r="B11" s="72"/>
      <c r="C11" s="117"/>
      <c r="D11" s="45"/>
      <c r="E11" s="101" t="s">
        <v>57</v>
      </c>
      <c r="F11" s="101"/>
      <c r="H11" s="49"/>
      <c r="I11" s="15" t="s">
        <v>115</v>
      </c>
      <c r="J11" s="15"/>
      <c r="N11" s="46"/>
      <c r="P11" s="109"/>
      <c r="Q11" s="126"/>
      <c r="R11" s="130"/>
    </row>
    <row r="12" spans="1:19" ht="30" x14ac:dyDescent="0.25">
      <c r="A12" s="116"/>
      <c r="B12" s="72"/>
      <c r="C12" s="117"/>
      <c r="D12" s="45"/>
      <c r="E12" s="26" t="s">
        <v>2</v>
      </c>
      <c r="F12" s="2" t="s">
        <v>55</v>
      </c>
      <c r="H12" s="26" t="s">
        <v>4</v>
      </c>
      <c r="I12" s="40" t="s">
        <v>59</v>
      </c>
      <c r="J12" s="2" t="s">
        <v>55</v>
      </c>
      <c r="N12" s="47"/>
      <c r="P12" s="109"/>
      <c r="Q12" s="126"/>
      <c r="R12" s="130"/>
    </row>
    <row r="13" spans="1:19" x14ac:dyDescent="0.25">
      <c r="A13" s="116"/>
      <c r="B13" s="72"/>
      <c r="C13" s="117"/>
      <c r="D13" s="45"/>
      <c r="E13" s="11" t="s">
        <v>34</v>
      </c>
      <c r="F13" s="12">
        <v>32709.754000000004</v>
      </c>
      <c r="H13" s="11" t="s">
        <v>13</v>
      </c>
      <c r="I13" s="13">
        <v>404</v>
      </c>
      <c r="J13" s="12">
        <v>78198.755999999994</v>
      </c>
      <c r="N13"/>
      <c r="P13" s="109"/>
      <c r="Q13" s="126"/>
      <c r="R13" s="130"/>
    </row>
    <row r="14" spans="1:19" x14ac:dyDescent="0.25">
      <c r="A14" s="116"/>
      <c r="B14" s="72"/>
      <c r="C14" s="117"/>
      <c r="D14" s="45"/>
      <c r="E14" s="11" t="s">
        <v>35</v>
      </c>
      <c r="F14" s="12">
        <v>32544.749999999993</v>
      </c>
      <c r="H14" s="11" t="s">
        <v>36</v>
      </c>
      <c r="I14" s="13">
        <v>328</v>
      </c>
      <c r="J14" s="12">
        <v>65792.540000000023</v>
      </c>
      <c r="L14"/>
      <c r="M14"/>
      <c r="N14"/>
      <c r="P14" s="109"/>
      <c r="Q14" s="126"/>
      <c r="R14" s="130"/>
    </row>
    <row r="15" spans="1:19" x14ac:dyDescent="0.25">
      <c r="A15" s="116"/>
      <c r="B15" s="72"/>
      <c r="C15" s="117"/>
      <c r="D15" s="45"/>
      <c r="E15" s="11" t="s">
        <v>15</v>
      </c>
      <c r="F15" s="12">
        <v>30512.235999999997</v>
      </c>
      <c r="H15" s="11" t="s">
        <v>24</v>
      </c>
      <c r="I15" s="13">
        <v>326</v>
      </c>
      <c r="J15" s="12">
        <v>64846.765999999989</v>
      </c>
      <c r="N15" s="2"/>
      <c r="P15" s="109"/>
      <c r="Q15" s="126"/>
      <c r="R15" s="130"/>
    </row>
    <row r="16" spans="1:19" x14ac:dyDescent="0.25">
      <c r="A16" s="116"/>
      <c r="B16" s="72"/>
      <c r="C16" s="117"/>
      <c r="D16" s="45"/>
      <c r="E16" s="11" t="s">
        <v>28</v>
      </c>
      <c r="F16" s="12">
        <v>25660.555999999997</v>
      </c>
      <c r="H16" s="11" t="s">
        <v>21</v>
      </c>
      <c r="I16" s="13">
        <v>331</v>
      </c>
      <c r="J16" s="12">
        <v>57992.415999999997</v>
      </c>
      <c r="N16" s="1"/>
      <c r="P16" s="109"/>
      <c r="Q16" s="126"/>
      <c r="R16" s="130"/>
    </row>
    <row r="17" spans="1:20" x14ac:dyDescent="0.25">
      <c r="A17" s="116"/>
      <c r="B17" s="72"/>
      <c r="C17" s="117"/>
      <c r="D17" s="45"/>
      <c r="E17" s="11" t="s">
        <v>39</v>
      </c>
      <c r="F17" s="12">
        <v>25039.691999999999</v>
      </c>
      <c r="H17" s="11" t="s">
        <v>17</v>
      </c>
      <c r="I17" s="13">
        <v>356</v>
      </c>
      <c r="J17" s="12">
        <v>56580.801999999974</v>
      </c>
      <c r="P17" s="109"/>
      <c r="Q17" s="126"/>
      <c r="R17" s="130"/>
    </row>
    <row r="18" spans="1:20" x14ac:dyDescent="0.25">
      <c r="A18" s="116"/>
      <c r="B18" s="72"/>
      <c r="C18" s="117"/>
      <c r="D18" s="45"/>
      <c r="E18" s="10" t="s">
        <v>53</v>
      </c>
      <c r="F18" s="16">
        <v>146466.98799999998</v>
      </c>
      <c r="H18" s="10" t="s">
        <v>53</v>
      </c>
      <c r="I18" s="16">
        <v>1745</v>
      </c>
      <c r="J18" s="50">
        <v>323411.28000000003</v>
      </c>
      <c r="P18" s="109"/>
      <c r="Q18" s="126"/>
      <c r="R18" s="130"/>
    </row>
    <row r="19" spans="1:20" ht="15.75" thickBot="1" x14ac:dyDescent="0.3">
      <c r="A19" s="116"/>
      <c r="B19" s="72"/>
      <c r="C19" s="117"/>
      <c r="D19" s="45"/>
      <c r="E19"/>
      <c r="H19" s="9"/>
      <c r="I19"/>
      <c r="J19" s="2"/>
      <c r="K19" s="2"/>
      <c r="P19" s="109"/>
      <c r="Q19" s="126"/>
      <c r="R19" s="130"/>
    </row>
    <row r="20" spans="1:20" ht="15.75" x14ac:dyDescent="0.25">
      <c r="A20" s="116"/>
      <c r="B20" s="72"/>
      <c r="C20" s="117"/>
      <c r="D20" s="45"/>
      <c r="E20" s="102" t="s">
        <v>58</v>
      </c>
      <c r="F20" s="102"/>
      <c r="H20" s="67" t="s">
        <v>52</v>
      </c>
      <c r="I20" s="2" t="s">
        <v>51</v>
      </c>
      <c r="J20" s="2" t="s">
        <v>55</v>
      </c>
      <c r="K20" s="37" t="s">
        <v>97</v>
      </c>
      <c r="P20" s="109"/>
      <c r="Q20" s="126"/>
      <c r="R20" s="130"/>
    </row>
    <row r="21" spans="1:20" ht="30" x14ac:dyDescent="0.25">
      <c r="A21" s="116"/>
      <c r="B21" s="72"/>
      <c r="C21" s="117"/>
      <c r="D21" s="45"/>
      <c r="E21" s="26" t="s">
        <v>3</v>
      </c>
      <c r="F21" s="40" t="s">
        <v>56</v>
      </c>
      <c r="H21" s="36" t="s">
        <v>29</v>
      </c>
      <c r="I21" s="27">
        <v>166447.24000000005</v>
      </c>
      <c r="J21" s="27">
        <v>59019.197999999989</v>
      </c>
      <c r="K21" s="38">
        <f>J21/I21</f>
        <v>0.3545820164996426</v>
      </c>
      <c r="P21" s="109"/>
      <c r="Q21" s="126"/>
      <c r="R21" s="130"/>
    </row>
    <row r="22" spans="1:20" x14ac:dyDescent="0.25">
      <c r="A22" s="116"/>
      <c r="B22" s="72"/>
      <c r="C22" s="117"/>
      <c r="D22" s="45"/>
      <c r="E22" s="11" t="s">
        <v>29</v>
      </c>
      <c r="F22" s="14">
        <v>71</v>
      </c>
      <c r="H22" s="36" t="s">
        <v>16</v>
      </c>
      <c r="I22" s="27">
        <v>169216.59</v>
      </c>
      <c r="J22" s="27">
        <v>61021.417999999998</v>
      </c>
      <c r="K22" s="38">
        <f>J22/I22</f>
        <v>0.36061132067488183</v>
      </c>
      <c r="P22" s="109"/>
      <c r="Q22" s="126"/>
      <c r="R22" s="130"/>
    </row>
    <row r="23" spans="1:20" x14ac:dyDescent="0.25">
      <c r="A23" s="116"/>
      <c r="B23" s="72"/>
      <c r="C23" s="117"/>
      <c r="D23" s="45"/>
      <c r="E23" s="11" t="s">
        <v>16</v>
      </c>
      <c r="F23" s="14">
        <v>54</v>
      </c>
      <c r="H23" s="36" t="s">
        <v>12</v>
      </c>
      <c r="I23" s="27">
        <v>195425.48200000002</v>
      </c>
      <c r="J23" s="27">
        <v>69198.881999999998</v>
      </c>
      <c r="K23" s="38">
        <f>J23/I23</f>
        <v>0.35409344417019267</v>
      </c>
      <c r="P23" s="109"/>
      <c r="Q23" s="126"/>
      <c r="R23" s="130"/>
    </row>
    <row r="24" spans="1:20" x14ac:dyDescent="0.25">
      <c r="A24" s="116"/>
      <c r="B24" s="72"/>
      <c r="C24" s="117"/>
      <c r="D24" s="45"/>
      <c r="E24" s="11" t="s">
        <v>12</v>
      </c>
      <c r="F24" s="14">
        <v>60</v>
      </c>
      <c r="H24" s="36" t="s">
        <v>27</v>
      </c>
      <c r="I24" s="27">
        <v>155972.19599999997</v>
      </c>
      <c r="J24" s="27">
        <v>50982.832000000002</v>
      </c>
      <c r="K24" s="38">
        <f>J24/I24</f>
        <v>0.32687128416144129</v>
      </c>
      <c r="P24" s="109"/>
      <c r="Q24" s="126"/>
      <c r="R24" s="130"/>
    </row>
    <row r="25" spans="1:20" x14ac:dyDescent="0.25">
      <c r="A25" s="116"/>
      <c r="B25" s="72"/>
      <c r="C25" s="117"/>
      <c r="D25" s="45"/>
      <c r="E25" s="11" t="s">
        <v>27</v>
      </c>
      <c r="F25" s="14">
        <v>53</v>
      </c>
      <c r="H25" s="36" t="s">
        <v>20</v>
      </c>
      <c r="I25" s="27">
        <v>244476.96399999995</v>
      </c>
      <c r="J25" s="27">
        <v>83188.95</v>
      </c>
      <c r="K25" s="38">
        <f>J25/I25</f>
        <v>0.34027316373251432</v>
      </c>
      <c r="P25" s="109"/>
      <c r="Q25" s="126"/>
      <c r="R25" s="130"/>
    </row>
    <row r="26" spans="1:20" ht="15.75" thickBot="1" x14ac:dyDescent="0.3">
      <c r="A26" s="116"/>
      <c r="B26" s="72"/>
      <c r="C26" s="117"/>
      <c r="D26" s="45"/>
      <c r="E26" s="11" t="s">
        <v>20</v>
      </c>
      <c r="F26" s="14">
        <v>62</v>
      </c>
      <c r="H26" s="36" t="s">
        <v>53</v>
      </c>
      <c r="I26" s="27">
        <v>931538.47200000007</v>
      </c>
      <c r="J26" s="27">
        <v>323411.27999999997</v>
      </c>
      <c r="K26" s="39">
        <f>J26/I26</f>
        <v>0.34717973515966599</v>
      </c>
      <c r="P26" s="109"/>
      <c r="Q26" s="126"/>
      <c r="R26" s="130"/>
    </row>
    <row r="27" spans="1:20" x14ac:dyDescent="0.25">
      <c r="A27" s="116"/>
      <c r="B27" s="72"/>
      <c r="C27" s="117"/>
      <c r="D27" s="45"/>
      <c r="E27" s="10" t="s">
        <v>53</v>
      </c>
      <c r="F27" s="19">
        <v>300</v>
      </c>
      <c r="H27"/>
      <c r="I27"/>
      <c r="J27"/>
      <c r="K27" s="2"/>
      <c r="L27" s="9"/>
      <c r="P27" s="109"/>
      <c r="Q27" s="126"/>
      <c r="R27" s="130"/>
    </row>
    <row r="28" spans="1:20" x14ac:dyDescent="0.25">
      <c r="A28" s="116"/>
      <c r="B28" s="72"/>
      <c r="C28" s="117"/>
      <c r="D28" s="57"/>
      <c r="E28" s="111"/>
      <c r="F28" s="111"/>
      <c r="G28" s="111"/>
      <c r="H28" s="111"/>
      <c r="I28" s="111"/>
      <c r="J28" s="111"/>
      <c r="K28" s="112"/>
      <c r="L28" s="113"/>
      <c r="M28" s="114"/>
      <c r="N28" s="114"/>
      <c r="O28" s="112"/>
      <c r="P28" s="115"/>
      <c r="Q28" s="126"/>
      <c r="R28" s="130"/>
    </row>
    <row r="29" spans="1:20" ht="22.5" customHeight="1" x14ac:dyDescent="0.25">
      <c r="A29" s="116"/>
      <c r="B29" s="72"/>
      <c r="C29" s="121"/>
      <c r="D29" s="122"/>
      <c r="E29" s="122"/>
      <c r="F29" s="122"/>
      <c r="G29" s="122"/>
      <c r="H29" s="122"/>
      <c r="I29" s="122"/>
      <c r="J29" s="122"/>
      <c r="K29" s="123"/>
      <c r="L29" s="124"/>
      <c r="M29" s="124"/>
      <c r="N29" s="124"/>
      <c r="O29" s="123"/>
      <c r="P29" s="123"/>
      <c r="Q29" s="125"/>
      <c r="R29" s="130"/>
    </row>
    <row r="30" spans="1:20" ht="23.25" customHeight="1" x14ac:dyDescent="0.25">
      <c r="A30" s="116"/>
      <c r="B30" s="74"/>
      <c r="C30" s="74"/>
      <c r="D30" s="128"/>
      <c r="E30" s="128"/>
      <c r="F30" s="128"/>
      <c r="G30" s="128"/>
      <c r="H30" s="128"/>
      <c r="I30" s="128"/>
      <c r="J30" s="128"/>
      <c r="K30" s="129"/>
      <c r="L30" s="74"/>
      <c r="M30" s="74"/>
      <c r="N30" s="74"/>
      <c r="O30" s="74"/>
      <c r="P30" s="74"/>
      <c r="Q30" s="74"/>
      <c r="R30" s="75"/>
      <c r="S30"/>
    </row>
    <row r="31" spans="1:20" x14ac:dyDescent="0.25">
      <c r="C31" s="28"/>
      <c r="D31" s="53"/>
      <c r="R31"/>
      <c r="S31" s="8"/>
      <c r="T31" s="9"/>
    </row>
    <row r="32" spans="1:20" x14ac:dyDescent="0.25">
      <c r="C32" s="28"/>
      <c r="D32" s="53"/>
      <c r="R32"/>
      <c r="S32"/>
    </row>
    <row r="33" spans="3:20" x14ac:dyDescent="0.25">
      <c r="C33" s="28"/>
      <c r="D33" s="53"/>
      <c r="R33"/>
      <c r="S33"/>
    </row>
    <row r="34" spans="3:20" x14ac:dyDescent="0.25">
      <c r="C34" s="28"/>
      <c r="D34" s="53"/>
      <c r="R34"/>
      <c r="S34"/>
    </row>
    <row r="35" spans="3:20" x14ac:dyDescent="0.25">
      <c r="C35" s="28"/>
      <c r="D35" s="53"/>
      <c r="R35"/>
      <c r="S35"/>
    </row>
    <row r="36" spans="3:20" x14ac:dyDescent="0.25">
      <c r="C36" s="28"/>
      <c r="D36" s="53"/>
      <c r="R36"/>
      <c r="S36"/>
    </row>
    <row r="37" spans="3:20" x14ac:dyDescent="0.25">
      <c r="C37" s="28"/>
      <c r="D37" s="53"/>
      <c r="R37"/>
      <c r="S37"/>
    </row>
    <row r="38" spans="3:20" x14ac:dyDescent="0.25">
      <c r="C38" s="28"/>
      <c r="D38" s="53"/>
      <c r="R38"/>
      <c r="S38"/>
    </row>
    <row r="39" spans="3:20" x14ac:dyDescent="0.25">
      <c r="C39" s="28"/>
      <c r="D39" s="53"/>
      <c r="R39"/>
      <c r="S39"/>
    </row>
    <row r="40" spans="3:20" x14ac:dyDescent="0.25">
      <c r="C40" s="28"/>
      <c r="D40" s="53"/>
      <c r="R40"/>
      <c r="S40"/>
    </row>
    <row r="41" spans="3:20" x14ac:dyDescent="0.25">
      <c r="C41" s="28"/>
      <c r="D41" s="53"/>
      <c r="R41"/>
      <c r="S41"/>
      <c r="T41" s="9"/>
    </row>
    <row r="42" spans="3:20" x14ac:dyDescent="0.25">
      <c r="C42" s="28"/>
      <c r="D42" s="53"/>
      <c r="H42"/>
      <c r="I42"/>
      <c r="R42"/>
      <c r="S42"/>
      <c r="T42" s="9"/>
    </row>
    <row r="43" spans="3:20" x14ac:dyDescent="0.25">
      <c r="C43" s="28"/>
      <c r="D43" s="53"/>
      <c r="H43" s="8"/>
      <c r="I43" s="8"/>
      <c r="R43"/>
      <c r="S43"/>
      <c r="T43" s="9"/>
    </row>
    <row r="44" spans="3:20" x14ac:dyDescent="0.25">
      <c r="C44" s="28"/>
      <c r="D44" s="53"/>
      <c r="H44" s="8"/>
      <c r="I44" s="8"/>
      <c r="R44"/>
      <c r="S44"/>
      <c r="T44" s="9"/>
    </row>
    <row r="45" spans="3:20" x14ac:dyDescent="0.25">
      <c r="C45" s="28"/>
      <c r="D45" s="53"/>
      <c r="H45" s="8"/>
      <c r="I45" s="8"/>
      <c r="R45"/>
      <c r="S45"/>
      <c r="T45" s="9"/>
    </row>
    <row r="46" spans="3:20" x14ac:dyDescent="0.25">
      <c r="C46" s="28"/>
      <c r="D46" s="53"/>
      <c r="H46" s="8"/>
      <c r="I46" s="8"/>
      <c r="R46"/>
      <c r="S46"/>
      <c r="T46" s="9"/>
    </row>
    <row r="47" spans="3:20" x14ac:dyDescent="0.25">
      <c r="R47"/>
      <c r="S47"/>
      <c r="T47" s="9"/>
    </row>
    <row r="48" spans="3:20" x14ac:dyDescent="0.25">
      <c r="R48"/>
      <c r="S48"/>
      <c r="T48" s="9"/>
    </row>
    <row r="49" spans="5:20" x14ac:dyDescent="0.25">
      <c r="R49"/>
      <c r="S49"/>
      <c r="T49" s="9"/>
    </row>
    <row r="50" spans="5:20" x14ac:dyDescent="0.25">
      <c r="R50"/>
      <c r="S50"/>
      <c r="T50" s="9"/>
    </row>
    <row r="51" spans="5:20" x14ac:dyDescent="0.25">
      <c r="S51" s="8"/>
      <c r="T51" s="9"/>
    </row>
    <row r="52" spans="5:20" x14ac:dyDescent="0.25">
      <c r="S52" s="8"/>
      <c r="T52" s="9"/>
    </row>
    <row r="53" spans="5:20" x14ac:dyDescent="0.25">
      <c r="S53" s="8"/>
      <c r="T53" s="9"/>
    </row>
    <row r="54" spans="5:20" x14ac:dyDescent="0.25">
      <c r="S54" s="8"/>
      <c r="T54" s="9"/>
    </row>
    <row r="55" spans="5:20" x14ac:dyDescent="0.25">
      <c r="S55" s="8"/>
      <c r="T55" s="9"/>
    </row>
    <row r="56" spans="5:20" x14ac:dyDescent="0.25">
      <c r="S56" s="8"/>
      <c r="T56" s="9"/>
    </row>
    <row r="57" spans="5:20" x14ac:dyDescent="0.25">
      <c r="S57" s="8"/>
      <c r="T57" s="9"/>
    </row>
    <row r="58" spans="5:20" x14ac:dyDescent="0.25">
      <c r="S58" s="8"/>
      <c r="T58" s="9"/>
    </row>
    <row r="59" spans="5:20" x14ac:dyDescent="0.25">
      <c r="S59" s="8"/>
      <c r="T59" s="9"/>
    </row>
    <row r="60" spans="5:20" x14ac:dyDescent="0.25">
      <c r="G60"/>
      <c r="J60" s="2"/>
      <c r="S60" s="8"/>
      <c r="T60" s="9"/>
    </row>
    <row r="61" spans="5:20" x14ac:dyDescent="0.25">
      <c r="G61"/>
      <c r="J61" s="2"/>
      <c r="S61" s="8"/>
      <c r="T61" s="9"/>
    </row>
    <row r="62" spans="5:20" x14ac:dyDescent="0.25">
      <c r="G62"/>
      <c r="J62" s="2"/>
      <c r="S62" s="8"/>
      <c r="T62" s="9"/>
    </row>
    <row r="63" spans="5:20" x14ac:dyDescent="0.25">
      <c r="G63"/>
      <c r="J63" s="2"/>
      <c r="S63" s="8"/>
      <c r="T63" s="9"/>
    </row>
    <row r="64" spans="5:20" x14ac:dyDescent="0.25">
      <c r="E64"/>
      <c r="F64"/>
      <c r="G64"/>
      <c r="J64" s="2"/>
      <c r="S64" s="8"/>
      <c r="T64" s="9"/>
    </row>
    <row r="65" spans="5:20" x14ac:dyDescent="0.25">
      <c r="E65"/>
      <c r="F65"/>
      <c r="G65"/>
      <c r="J65" s="2"/>
      <c r="S65" s="8"/>
      <c r="T65" s="9"/>
    </row>
    <row r="66" spans="5:20" x14ac:dyDescent="0.25">
      <c r="E66"/>
      <c r="F66"/>
      <c r="J66" s="2"/>
      <c r="S66" s="8"/>
      <c r="T66" s="9"/>
    </row>
    <row r="67" spans="5:20" x14ac:dyDescent="0.25">
      <c r="E67"/>
      <c r="F67"/>
      <c r="J67" s="2"/>
      <c r="S67" s="8"/>
      <c r="T67" s="9"/>
    </row>
    <row r="68" spans="5:20" x14ac:dyDescent="0.25">
      <c r="E68"/>
      <c r="F68"/>
      <c r="J68" s="2"/>
      <c r="S68" s="8"/>
      <c r="T68" s="9"/>
    </row>
    <row r="69" spans="5:20" x14ac:dyDescent="0.25">
      <c r="E69"/>
      <c r="F69"/>
      <c r="J69" s="2"/>
      <c r="S69" s="8"/>
      <c r="T69" s="9"/>
    </row>
    <row r="70" spans="5:20" x14ac:dyDescent="0.25">
      <c r="E70"/>
      <c r="F70"/>
      <c r="J70" s="2"/>
      <c r="S70" s="8"/>
      <c r="T70" s="9"/>
    </row>
    <row r="71" spans="5:20" x14ac:dyDescent="0.25">
      <c r="E71"/>
      <c r="F71"/>
      <c r="J71" s="2"/>
      <c r="S71" s="8"/>
      <c r="T71" s="9"/>
    </row>
    <row r="72" spans="5:20" x14ac:dyDescent="0.25">
      <c r="E72"/>
      <c r="F72"/>
      <c r="J72" s="2"/>
      <c r="S72" s="8"/>
      <c r="T72" s="9"/>
    </row>
    <row r="73" spans="5:20" x14ac:dyDescent="0.25">
      <c r="E73"/>
      <c r="F73"/>
      <c r="J73" s="2"/>
      <c r="S73" s="8"/>
      <c r="T73" s="9"/>
    </row>
    <row r="74" spans="5:20" x14ac:dyDescent="0.25">
      <c r="E74"/>
      <c r="F74"/>
      <c r="J74" s="2"/>
      <c r="S74" s="8"/>
      <c r="T74" s="9"/>
    </row>
    <row r="75" spans="5:20" x14ac:dyDescent="0.25">
      <c r="E75"/>
      <c r="F75"/>
      <c r="J75" s="2"/>
      <c r="S75" s="8"/>
      <c r="T75" s="9"/>
    </row>
    <row r="76" spans="5:20" x14ac:dyDescent="0.25">
      <c r="E76"/>
      <c r="F76"/>
      <c r="J76" s="2"/>
      <c r="S76" s="8"/>
      <c r="T76" s="9"/>
    </row>
    <row r="77" spans="5:20" x14ac:dyDescent="0.25">
      <c r="E77"/>
      <c r="F77"/>
      <c r="J77" s="2"/>
      <c r="S77" s="8"/>
      <c r="T77" s="9"/>
    </row>
    <row r="78" spans="5:20" x14ac:dyDescent="0.25">
      <c r="E78"/>
      <c r="F78"/>
      <c r="J78" s="2"/>
      <c r="S78" s="8"/>
      <c r="T78" s="9"/>
    </row>
    <row r="79" spans="5:20" x14ac:dyDescent="0.25">
      <c r="E79"/>
      <c r="F79"/>
      <c r="J79" s="2"/>
      <c r="S79" s="8"/>
      <c r="T79" s="9"/>
    </row>
    <row r="80" spans="5:20" x14ac:dyDescent="0.25">
      <c r="E80"/>
      <c r="F80"/>
      <c r="J80" s="2"/>
      <c r="S80" s="8"/>
      <c r="T80" s="9"/>
    </row>
    <row r="81" spans="5:20" x14ac:dyDescent="0.25">
      <c r="E81"/>
      <c r="F81"/>
      <c r="J81" s="2"/>
      <c r="S81" s="8"/>
      <c r="T81" s="9"/>
    </row>
    <row r="82" spans="5:20" x14ac:dyDescent="0.25">
      <c r="E82"/>
      <c r="F82"/>
      <c r="J82" s="2"/>
      <c r="S82" s="8"/>
      <c r="T82" s="9"/>
    </row>
    <row r="83" spans="5:20" x14ac:dyDescent="0.25">
      <c r="E83"/>
      <c r="F83"/>
      <c r="J83" s="2"/>
      <c r="S83" s="8"/>
      <c r="T83" s="9"/>
    </row>
    <row r="84" spans="5:20" x14ac:dyDescent="0.25">
      <c r="E84"/>
      <c r="F84"/>
      <c r="J84" s="2"/>
      <c r="S84" s="8"/>
      <c r="T84" s="9"/>
    </row>
    <row r="85" spans="5:20" x14ac:dyDescent="0.25">
      <c r="E85"/>
      <c r="F85"/>
      <c r="J85" s="2"/>
      <c r="S85" s="8"/>
      <c r="T85" s="9"/>
    </row>
    <row r="86" spans="5:20" x14ac:dyDescent="0.25">
      <c r="E86"/>
      <c r="F86"/>
      <c r="J86" s="2"/>
      <c r="S86" s="8"/>
      <c r="T86" s="9"/>
    </row>
    <row r="87" spans="5:20" x14ac:dyDescent="0.25">
      <c r="E87"/>
      <c r="F87"/>
      <c r="J87" s="2"/>
      <c r="S87" s="8"/>
      <c r="T87" s="9"/>
    </row>
    <row r="88" spans="5:20" x14ac:dyDescent="0.25">
      <c r="E88"/>
      <c r="F88"/>
      <c r="J88" s="2"/>
      <c r="S88" s="8"/>
      <c r="T88" s="9"/>
    </row>
    <row r="89" spans="5:20" x14ac:dyDescent="0.25">
      <c r="E89"/>
      <c r="F89"/>
      <c r="J89" s="2"/>
      <c r="S89" s="8"/>
      <c r="T89" s="9"/>
    </row>
    <row r="90" spans="5:20" x14ac:dyDescent="0.25">
      <c r="E90"/>
      <c r="F90"/>
      <c r="J90" s="2"/>
      <c r="S90" s="8"/>
      <c r="T90" s="9"/>
    </row>
    <row r="91" spans="5:20" x14ac:dyDescent="0.25">
      <c r="E91"/>
      <c r="F91"/>
      <c r="J91" s="2"/>
      <c r="S91" s="8"/>
      <c r="T91" s="9"/>
    </row>
    <row r="92" spans="5:20" x14ac:dyDescent="0.25">
      <c r="E92"/>
      <c r="F92"/>
      <c r="J92" s="2"/>
      <c r="S92" s="8"/>
      <c r="T92" s="9"/>
    </row>
    <row r="93" spans="5:20" x14ac:dyDescent="0.25">
      <c r="E93"/>
      <c r="F93"/>
      <c r="J93" s="2"/>
      <c r="S93" s="8"/>
      <c r="T93" s="9"/>
    </row>
    <row r="94" spans="5:20" x14ac:dyDescent="0.25">
      <c r="E94"/>
      <c r="F94"/>
      <c r="J94" s="2"/>
      <c r="S94" s="8"/>
      <c r="T94" s="9"/>
    </row>
    <row r="95" spans="5:20" x14ac:dyDescent="0.25">
      <c r="E95"/>
      <c r="F95"/>
      <c r="J95" s="2"/>
      <c r="S95" s="8"/>
      <c r="T95" s="9"/>
    </row>
    <row r="96" spans="5:20" x14ac:dyDescent="0.25">
      <c r="E96"/>
      <c r="F96"/>
      <c r="J96" s="2"/>
      <c r="S96" s="8"/>
      <c r="T96" s="9"/>
    </row>
    <row r="97" spans="4:20" x14ac:dyDescent="0.25">
      <c r="E97"/>
      <c r="F97"/>
      <c r="J97" s="2"/>
      <c r="S97" s="8"/>
      <c r="T97" s="9"/>
    </row>
    <row r="98" spans="4:20" x14ac:dyDescent="0.25">
      <c r="E98"/>
      <c r="F98"/>
      <c r="J98" s="2"/>
      <c r="S98" s="8"/>
      <c r="T98" s="9"/>
    </row>
    <row r="99" spans="4:20" x14ac:dyDescent="0.25">
      <c r="E99"/>
      <c r="F99"/>
      <c r="J99" s="2"/>
      <c r="S99" s="8"/>
      <c r="T99" s="9"/>
    </row>
    <row r="100" spans="4:20" x14ac:dyDescent="0.25">
      <c r="E100"/>
      <c r="F100"/>
      <c r="J100" s="2"/>
      <c r="S100" s="8"/>
      <c r="T100" s="9"/>
    </row>
    <row r="101" spans="4:20" x14ac:dyDescent="0.25">
      <c r="E101"/>
      <c r="F101"/>
      <c r="J101" s="2"/>
      <c r="S101" s="8"/>
      <c r="T101" s="9"/>
    </row>
    <row r="102" spans="4:20" x14ac:dyDescent="0.25">
      <c r="E102"/>
      <c r="F102"/>
      <c r="J102" s="2"/>
      <c r="S102" s="8"/>
      <c r="T102" s="9"/>
    </row>
    <row r="103" spans="4:20" x14ac:dyDescent="0.25">
      <c r="E103"/>
      <c r="F103"/>
      <c r="S103" s="8"/>
      <c r="T103" s="9"/>
    </row>
    <row r="104" spans="4:20" x14ac:dyDescent="0.25">
      <c r="E104"/>
      <c r="F104"/>
      <c r="S104" s="8"/>
      <c r="T104" s="9"/>
    </row>
    <row r="105" spans="4:20" x14ac:dyDescent="0.25">
      <c r="D105"/>
      <c r="E105"/>
      <c r="F105"/>
      <c r="S105" s="8"/>
      <c r="T105" s="9"/>
    </row>
    <row r="106" spans="4:20" x14ac:dyDescent="0.25">
      <c r="D106"/>
      <c r="E106"/>
      <c r="F106"/>
      <c r="S106" s="8"/>
      <c r="T106" s="9"/>
    </row>
    <row r="107" spans="4:20" x14ac:dyDescent="0.25">
      <c r="D107"/>
      <c r="E107"/>
    </row>
    <row r="108" spans="4:20" x14ac:dyDescent="0.25">
      <c r="D108"/>
    </row>
    <row r="109" spans="4:20" x14ac:dyDescent="0.25">
      <c r="D109"/>
    </row>
    <row r="110" spans="4:20" x14ac:dyDescent="0.25">
      <c r="D110"/>
    </row>
    <row r="111" spans="4:20" x14ac:dyDescent="0.25">
      <c r="D111"/>
    </row>
    <row r="112" spans="4:20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</sheetData>
  <mergeCells count="2">
    <mergeCell ref="E11:F11"/>
    <mergeCell ref="E20:F20"/>
  </mergeCells>
  <conditionalFormatting pivot="1" sqref="J13:J17">
    <cfRule type="colorScale" priority="16">
      <colorScale>
        <cfvo type="min"/>
        <cfvo type="max"/>
        <color rgb="FFFFEF9C"/>
        <color rgb="FF63BE7B"/>
      </colorScale>
    </cfRule>
  </conditionalFormatting>
  <conditionalFormatting pivot="1" sqref="I13:I17">
    <cfRule type="colorScale" priority="10">
      <colorScale>
        <cfvo type="min"/>
        <cfvo type="max"/>
        <color rgb="FFFFEF9C"/>
        <color rgb="FF63BE7B"/>
      </colorScale>
    </cfRule>
  </conditionalFormatting>
  <conditionalFormatting sqref="K21:K25">
    <cfRule type="colorScale" priority="1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16B3-B536-422F-BB80-1EE0A75F4D37}">
  <dimension ref="A1"/>
  <sheetViews>
    <sheetView showGridLines="0" zoomScale="40" zoomScaleNormal="40" workbookViewId="0">
      <selection activeCell="V41" sqref="V41"/>
    </sheetView>
  </sheetViews>
  <sheetFormatPr defaultRowHeight="15" x14ac:dyDescent="0.25"/>
  <cols>
    <col min="1" max="16384" width="9.140625" style="23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61FC-1225-496A-9E1F-15DA1598F22B}">
  <dimension ref="A1:W182"/>
  <sheetViews>
    <sheetView showGridLines="0" zoomScale="55" zoomScaleNormal="55" workbookViewId="0">
      <selection activeCell="I46" sqref="I46"/>
    </sheetView>
  </sheetViews>
  <sheetFormatPr defaultRowHeight="15" x14ac:dyDescent="0.25"/>
  <cols>
    <col min="1" max="1" width="4.5703125" customWidth="1"/>
    <col min="2" max="2" width="30.28515625" bestFit="1" customWidth="1"/>
    <col min="3" max="3" width="32.5703125" bestFit="1" customWidth="1"/>
    <col min="4" max="4" width="24.85546875" bestFit="1" customWidth="1"/>
    <col min="5" max="5" width="19.5703125" style="28" bestFit="1" customWidth="1"/>
    <col min="6" max="6" width="11.28515625" style="28" bestFit="1" customWidth="1"/>
    <col min="7" max="7" width="20.28515625" bestFit="1" customWidth="1"/>
    <col min="8" max="8" width="12.42578125" bestFit="1" customWidth="1"/>
    <col min="9" max="9" width="19.5703125" bestFit="1" customWidth="1"/>
    <col min="10" max="10" width="16" style="2" bestFit="1" customWidth="1"/>
    <col min="11" max="11" width="14.5703125" style="2" bestFit="1" customWidth="1"/>
    <col min="12" max="12" width="24.85546875" style="2" bestFit="1" customWidth="1"/>
    <col min="13" max="15" width="10" style="2" bestFit="1" customWidth="1"/>
    <col min="16" max="16" width="20.28515625" style="2" bestFit="1" customWidth="1"/>
    <col min="17" max="17" width="22" style="2" bestFit="1" customWidth="1"/>
    <col min="18" max="18" width="19.5703125" style="2" bestFit="1" customWidth="1"/>
    <col min="19" max="19" width="16" style="2" bestFit="1" customWidth="1"/>
    <col min="20" max="20" width="21.140625" style="2" bestFit="1" customWidth="1"/>
    <col min="21" max="21" width="18.85546875" style="2" bestFit="1" customWidth="1"/>
    <col min="22" max="22" width="21.5703125" style="2" bestFit="1" customWidth="1"/>
    <col min="23" max="23" width="10.7109375" style="2" bestFit="1" customWidth="1"/>
    <col min="24" max="24" width="8.42578125" customWidth="1"/>
    <col min="25" max="25" width="7.28515625" customWidth="1"/>
    <col min="26" max="26" width="15.7109375" bestFit="1" customWidth="1"/>
    <col min="27" max="27" width="17.85546875" customWidth="1"/>
    <col min="28" max="28" width="24" customWidth="1"/>
    <col min="29" max="29" width="13.85546875" bestFit="1" customWidth="1"/>
    <col min="30" max="30" width="17.85546875" bestFit="1" customWidth="1"/>
    <col min="31" max="31" width="13.85546875" bestFit="1" customWidth="1"/>
    <col min="32" max="32" width="17.85546875" bestFit="1" customWidth="1"/>
    <col min="33" max="33" width="13.85546875" bestFit="1" customWidth="1"/>
    <col min="34" max="34" width="17.85546875" bestFit="1" customWidth="1"/>
    <col min="35" max="35" width="13.85546875" bestFit="1" customWidth="1"/>
    <col min="36" max="36" width="22.85546875" bestFit="1" customWidth="1"/>
    <col min="37" max="37" width="18.85546875" bestFit="1" customWidth="1"/>
  </cols>
  <sheetData>
    <row r="1" spans="1:22" ht="23.25" customHeight="1" x14ac:dyDescent="0.25">
      <c r="A1" s="28"/>
      <c r="B1" s="28"/>
      <c r="C1" s="28"/>
      <c r="D1" s="28"/>
      <c r="G1" s="28"/>
      <c r="H1" s="28"/>
      <c r="I1" s="28"/>
      <c r="J1" s="53"/>
      <c r="K1" s="53"/>
      <c r="L1" s="53"/>
      <c r="M1" s="53"/>
      <c r="N1" s="53"/>
      <c r="O1" s="53"/>
      <c r="P1" s="53"/>
    </row>
    <row r="2" spans="1:22" ht="18.75" x14ac:dyDescent="0.3">
      <c r="A2" s="28"/>
      <c r="B2" s="103" t="s">
        <v>60</v>
      </c>
      <c r="C2" s="103"/>
      <c r="D2" s="28"/>
      <c r="G2" s="28"/>
      <c r="H2" s="28"/>
      <c r="I2" s="28"/>
      <c r="J2" s="28"/>
      <c r="K2" s="28"/>
      <c r="L2" s="28"/>
      <c r="M2" s="53"/>
      <c r="N2" s="28"/>
      <c r="O2" s="28"/>
      <c r="P2" s="53"/>
      <c r="Q2"/>
      <c r="R2"/>
    </row>
    <row r="3" spans="1:22" ht="30" x14ac:dyDescent="0.3">
      <c r="A3" s="28"/>
      <c r="B3" s="21" t="s">
        <v>52</v>
      </c>
      <c r="C3" s="20" t="s">
        <v>55</v>
      </c>
      <c r="D3" s="66" t="s">
        <v>51</v>
      </c>
      <c r="E3" s="30" t="s">
        <v>97</v>
      </c>
      <c r="G3" s="135" t="s">
        <v>82</v>
      </c>
      <c r="H3" s="135" t="s">
        <v>54</v>
      </c>
      <c r="I3" s="28"/>
      <c r="J3" s="28"/>
      <c r="K3" s="28"/>
      <c r="L3" s="28"/>
      <c r="M3" s="53"/>
      <c r="N3" s="136" t="s">
        <v>148</v>
      </c>
      <c r="O3" s="137" t="s">
        <v>147</v>
      </c>
      <c r="P3" s="53"/>
      <c r="Q3" s="103" t="s">
        <v>74</v>
      </c>
      <c r="R3" s="103"/>
    </row>
    <row r="4" spans="1:22" x14ac:dyDescent="0.25">
      <c r="A4" s="28"/>
      <c r="B4" s="20" t="s">
        <v>34</v>
      </c>
      <c r="C4" s="34">
        <v>32709.754000000004</v>
      </c>
      <c r="D4" s="35">
        <v>85927.382000000041</v>
      </c>
      <c r="E4" s="32">
        <f>C4/D4</f>
        <v>0.38066741053509567</v>
      </c>
      <c r="F4" s="29"/>
      <c r="G4" s="28"/>
      <c r="H4" s="28" t="s">
        <v>78</v>
      </c>
      <c r="I4" s="28" t="s">
        <v>79</v>
      </c>
      <c r="J4" s="28" t="s">
        <v>80</v>
      </c>
      <c r="K4" s="28" t="s">
        <v>81</v>
      </c>
      <c r="L4" s="28" t="s">
        <v>53</v>
      </c>
      <c r="M4" s="53"/>
      <c r="N4" s="138" t="s">
        <v>61</v>
      </c>
      <c r="O4" s="29">
        <v>3859</v>
      </c>
      <c r="Q4" s="133" t="s">
        <v>4</v>
      </c>
      <c r="R4" s="132" t="s">
        <v>149</v>
      </c>
    </row>
    <row r="5" spans="1:22" x14ac:dyDescent="0.25">
      <c r="A5" s="28"/>
      <c r="B5" s="20" t="s">
        <v>35</v>
      </c>
      <c r="C5" s="34">
        <v>32544.749999999993</v>
      </c>
      <c r="D5" s="35">
        <v>93440.101999999984</v>
      </c>
      <c r="E5" s="32">
        <f t="shared" ref="E5:E18" si="0">C5/D5</f>
        <v>0.34829531757146409</v>
      </c>
      <c r="F5" s="29"/>
      <c r="G5" s="135" t="s">
        <v>52</v>
      </c>
      <c r="H5" s="28"/>
      <c r="I5" s="28"/>
      <c r="J5" s="28"/>
      <c r="K5" s="28"/>
      <c r="L5" s="28"/>
      <c r="M5" s="53"/>
      <c r="N5" s="138" t="s">
        <v>62</v>
      </c>
      <c r="O5" s="29">
        <v>3185</v>
      </c>
      <c r="Q5" s="33" t="s">
        <v>17</v>
      </c>
      <c r="R5" s="34">
        <v>56580.801999999974</v>
      </c>
    </row>
    <row r="6" spans="1:22" x14ac:dyDescent="0.25">
      <c r="A6" s="28"/>
      <c r="B6" s="20" t="s">
        <v>15</v>
      </c>
      <c r="C6" s="34">
        <v>30512.235999999997</v>
      </c>
      <c r="D6" s="35">
        <v>73712.847999999998</v>
      </c>
      <c r="E6" s="32">
        <f t="shared" si="0"/>
        <v>0.41393375548316891</v>
      </c>
      <c r="F6" s="29"/>
      <c r="G6" s="138" t="s">
        <v>61</v>
      </c>
      <c r="H6" s="29">
        <v>3859</v>
      </c>
      <c r="I6" s="29"/>
      <c r="J6" s="29"/>
      <c r="K6" s="29"/>
      <c r="L6" s="29">
        <v>3859</v>
      </c>
      <c r="M6" s="53"/>
      <c r="N6" s="138" t="s">
        <v>63</v>
      </c>
      <c r="O6" s="29">
        <v>5396</v>
      </c>
      <c r="Q6" s="33" t="s">
        <v>21</v>
      </c>
      <c r="R6" s="34">
        <v>57992.415999999997</v>
      </c>
    </row>
    <row r="7" spans="1:22" x14ac:dyDescent="0.25">
      <c r="A7" s="28"/>
      <c r="B7" s="20" t="s">
        <v>28</v>
      </c>
      <c r="C7" s="34">
        <v>25660.555999999997</v>
      </c>
      <c r="D7" s="35">
        <v>71489.123999999982</v>
      </c>
      <c r="E7" s="32">
        <f t="shared" si="0"/>
        <v>0.35894349467759606</v>
      </c>
      <c r="F7" s="29"/>
      <c r="G7" s="138" t="s">
        <v>62</v>
      </c>
      <c r="H7" s="29">
        <v>3185</v>
      </c>
      <c r="I7" s="29"/>
      <c r="J7" s="29"/>
      <c r="K7" s="29"/>
      <c r="L7" s="29">
        <v>3185</v>
      </c>
      <c r="M7" s="53"/>
      <c r="N7" s="138" t="s">
        <v>64</v>
      </c>
      <c r="O7" s="29">
        <v>3244</v>
      </c>
      <c r="Q7" s="33" t="s">
        <v>24</v>
      </c>
      <c r="R7" s="34">
        <v>64846.765999999989</v>
      </c>
    </row>
    <row r="8" spans="1:22" x14ac:dyDescent="0.25">
      <c r="A8" s="28"/>
      <c r="B8" s="20" t="s">
        <v>39</v>
      </c>
      <c r="C8" s="34">
        <v>25039.691999999999</v>
      </c>
      <c r="D8" s="35">
        <v>72907.285999999978</v>
      </c>
      <c r="E8" s="32">
        <f t="shared" si="0"/>
        <v>0.34344567427732814</v>
      </c>
      <c r="F8" s="29"/>
      <c r="G8" s="138" t="s">
        <v>63</v>
      </c>
      <c r="H8" s="29">
        <v>5396</v>
      </c>
      <c r="I8" s="29"/>
      <c r="J8" s="29"/>
      <c r="K8" s="29"/>
      <c r="L8" s="29">
        <v>5396</v>
      </c>
      <c r="M8" s="53"/>
      <c r="N8" s="138" t="s">
        <v>65</v>
      </c>
      <c r="O8" s="29">
        <v>2850</v>
      </c>
      <c r="Q8" s="33" t="s">
        <v>36</v>
      </c>
      <c r="R8" s="34">
        <v>65792.540000000023</v>
      </c>
    </row>
    <row r="9" spans="1:22" x14ac:dyDescent="0.25">
      <c r="A9" s="28"/>
      <c r="B9" s="20" t="s">
        <v>23</v>
      </c>
      <c r="C9" s="34">
        <v>24032.519999999997</v>
      </c>
      <c r="D9" s="35">
        <v>63714.661999999997</v>
      </c>
      <c r="E9" s="32">
        <f t="shared" si="0"/>
        <v>0.37718979031859257</v>
      </c>
      <c r="F9" s="29"/>
      <c r="G9" s="138" t="s">
        <v>64</v>
      </c>
      <c r="H9" s="29"/>
      <c r="I9" s="29">
        <v>3244</v>
      </c>
      <c r="J9" s="29"/>
      <c r="K9" s="29"/>
      <c r="L9" s="29">
        <v>3244</v>
      </c>
      <c r="M9" s="53"/>
      <c r="N9" s="138" t="s">
        <v>66</v>
      </c>
      <c r="O9" s="29">
        <v>4677</v>
      </c>
      <c r="Q9" s="33" t="s">
        <v>13</v>
      </c>
      <c r="R9" s="34">
        <v>78198.755999999994</v>
      </c>
    </row>
    <row r="10" spans="1:22" x14ac:dyDescent="0.25">
      <c r="A10" s="28"/>
      <c r="B10" s="20" t="s">
        <v>26</v>
      </c>
      <c r="C10" s="34">
        <v>23124.851999999999</v>
      </c>
      <c r="D10" s="35">
        <v>72780.092000000019</v>
      </c>
      <c r="E10" s="32">
        <f t="shared" si="0"/>
        <v>0.31773595449700714</v>
      </c>
      <c r="F10" s="29"/>
      <c r="G10" s="138" t="s">
        <v>65</v>
      </c>
      <c r="H10" s="29"/>
      <c r="I10" s="29">
        <v>2850</v>
      </c>
      <c r="J10" s="29"/>
      <c r="K10" s="29"/>
      <c r="L10" s="29">
        <v>2850</v>
      </c>
      <c r="M10" s="53"/>
      <c r="N10" s="138" t="s">
        <v>67</v>
      </c>
      <c r="O10" s="29">
        <v>3723</v>
      </c>
      <c r="Q10" s="33" t="s">
        <v>53</v>
      </c>
      <c r="R10" s="22">
        <v>323411.28000000003</v>
      </c>
    </row>
    <row r="11" spans="1:22" x14ac:dyDescent="0.25">
      <c r="A11" s="28"/>
      <c r="B11" s="20" t="s">
        <v>11</v>
      </c>
      <c r="C11" s="34">
        <v>22598.761999999999</v>
      </c>
      <c r="D11" s="35">
        <v>60907.219999999994</v>
      </c>
      <c r="E11" s="32">
        <f t="shared" si="0"/>
        <v>0.37103584763842451</v>
      </c>
      <c r="F11" s="29"/>
      <c r="G11" s="138" t="s">
        <v>66</v>
      </c>
      <c r="H11" s="29"/>
      <c r="I11" s="29">
        <v>4677</v>
      </c>
      <c r="J11" s="29"/>
      <c r="K11" s="29"/>
      <c r="L11" s="29">
        <v>4677</v>
      </c>
      <c r="M11" s="53"/>
      <c r="N11" s="138" t="s">
        <v>68</v>
      </c>
      <c r="O11" s="29">
        <v>4499</v>
      </c>
      <c r="Q11"/>
      <c r="R11"/>
    </row>
    <row r="12" spans="1:22" x14ac:dyDescent="0.25">
      <c r="A12" s="28"/>
      <c r="B12" s="20" t="s">
        <v>42</v>
      </c>
      <c r="C12" s="34">
        <v>21301.498</v>
      </c>
      <c r="D12" s="35">
        <v>67269.698000000004</v>
      </c>
      <c r="E12" s="32">
        <f t="shared" si="0"/>
        <v>0.31665814822002025</v>
      </c>
      <c r="F12" s="29"/>
      <c r="G12" s="138" t="s">
        <v>67</v>
      </c>
      <c r="H12" s="29"/>
      <c r="I12" s="29"/>
      <c r="J12" s="29">
        <v>3723</v>
      </c>
      <c r="K12" s="29"/>
      <c r="L12" s="29">
        <v>3723</v>
      </c>
      <c r="M12" s="53"/>
      <c r="N12" s="138" t="s">
        <v>69</v>
      </c>
      <c r="O12" s="29">
        <v>5187</v>
      </c>
    </row>
    <row r="13" spans="1:22" x14ac:dyDescent="0.25">
      <c r="A13" s="28"/>
      <c r="B13" s="20" t="s">
        <v>19</v>
      </c>
      <c r="C13" s="34">
        <v>21040.648000000001</v>
      </c>
      <c r="D13" s="35">
        <v>62780.329999999987</v>
      </c>
      <c r="E13" s="32">
        <f t="shared" si="0"/>
        <v>0.33514713923931277</v>
      </c>
      <c r="F13" s="29"/>
      <c r="G13" s="138" t="s">
        <v>68</v>
      </c>
      <c r="H13" s="29"/>
      <c r="I13" s="29"/>
      <c r="J13" s="29">
        <v>4499</v>
      </c>
      <c r="K13" s="29"/>
      <c r="L13" s="29">
        <v>4499</v>
      </c>
      <c r="M13" s="53"/>
      <c r="N13" s="138" t="s">
        <v>70</v>
      </c>
      <c r="O13" s="29">
        <v>2212</v>
      </c>
    </row>
    <row r="14" spans="1:22" x14ac:dyDescent="0.25">
      <c r="A14" s="28"/>
      <c r="B14" s="20" t="s">
        <v>31</v>
      </c>
      <c r="C14" s="34">
        <v>20259.826000000005</v>
      </c>
      <c r="D14" s="35">
        <v>67048.099999999991</v>
      </c>
      <c r="E14" s="32">
        <f t="shared" si="0"/>
        <v>0.30216853273992861</v>
      </c>
      <c r="F14" s="29"/>
      <c r="G14" s="138" t="s">
        <v>69</v>
      </c>
      <c r="H14" s="29"/>
      <c r="I14" s="29"/>
      <c r="J14" s="29">
        <v>5187</v>
      </c>
      <c r="K14" s="29"/>
      <c r="L14" s="29">
        <v>5187</v>
      </c>
      <c r="M14" s="53"/>
      <c r="N14" s="138" t="s">
        <v>71</v>
      </c>
      <c r="O14" s="29">
        <v>3936</v>
      </c>
    </row>
    <row r="15" spans="1:22" x14ac:dyDescent="0.25">
      <c r="A15" s="28"/>
      <c r="B15" s="20" t="s">
        <v>43</v>
      </c>
      <c r="C15" s="34">
        <v>18612.147999999994</v>
      </c>
      <c r="D15" s="35">
        <v>54699.010000000009</v>
      </c>
      <c r="E15" s="32">
        <f t="shared" si="0"/>
        <v>0.34026480552390237</v>
      </c>
      <c r="F15" s="29"/>
      <c r="G15" s="138" t="s">
        <v>70</v>
      </c>
      <c r="H15" s="29"/>
      <c r="I15" s="29"/>
      <c r="J15" s="29"/>
      <c r="K15" s="29">
        <v>2212</v>
      </c>
      <c r="L15" s="29">
        <v>2212</v>
      </c>
      <c r="M15" s="53"/>
      <c r="N15" s="138" t="s">
        <v>72</v>
      </c>
      <c r="O15" s="29">
        <v>2382</v>
      </c>
    </row>
    <row r="16" spans="1:22" x14ac:dyDescent="0.25">
      <c r="A16" s="28"/>
      <c r="B16" s="20" t="s">
        <v>41</v>
      </c>
      <c r="C16" s="34">
        <v>16038.513999999999</v>
      </c>
      <c r="D16" s="35">
        <v>53166.815999999992</v>
      </c>
      <c r="E16" s="32">
        <f t="shared" si="0"/>
        <v>0.30166399281837758</v>
      </c>
      <c r="F16" s="29"/>
      <c r="G16" s="138" t="s">
        <v>71</v>
      </c>
      <c r="H16" s="29"/>
      <c r="I16" s="29"/>
      <c r="J16" s="29"/>
      <c r="K16" s="29">
        <v>3936</v>
      </c>
      <c r="L16" s="29">
        <v>3936</v>
      </c>
      <c r="M16" s="53"/>
      <c r="N16" s="138" t="s">
        <v>53</v>
      </c>
      <c r="O16" s="29">
        <v>45150</v>
      </c>
      <c r="S16"/>
      <c r="T16"/>
      <c r="U16"/>
      <c r="V16"/>
    </row>
    <row r="17" spans="1:23" x14ac:dyDescent="0.25">
      <c r="A17" s="28"/>
      <c r="B17" s="20" t="s">
        <v>40</v>
      </c>
      <c r="C17" s="34">
        <v>9935.5239999999994</v>
      </c>
      <c r="D17" s="35">
        <v>31695.802000000003</v>
      </c>
      <c r="E17" s="32">
        <f t="shared" si="0"/>
        <v>0.31346498189255467</v>
      </c>
      <c r="F17" s="29"/>
      <c r="G17" s="138" t="s">
        <v>72</v>
      </c>
      <c r="H17" s="29"/>
      <c r="I17" s="29"/>
      <c r="J17" s="29"/>
      <c r="K17" s="29">
        <v>2382</v>
      </c>
      <c r="L17" s="29">
        <v>2382</v>
      </c>
      <c r="M17" s="53"/>
      <c r="N17" s="28"/>
      <c r="O17" s="28"/>
      <c r="S17"/>
      <c r="T17"/>
      <c r="U17"/>
    </row>
    <row r="18" spans="1:23" x14ac:dyDescent="0.25">
      <c r="A18" s="28"/>
      <c r="B18" s="20" t="s">
        <v>53</v>
      </c>
      <c r="C18" s="22">
        <v>323411.27999999997</v>
      </c>
      <c r="D18" s="31">
        <v>931538.47199999995</v>
      </c>
      <c r="E18" s="32">
        <f t="shared" si="0"/>
        <v>0.34717973515966605</v>
      </c>
      <c r="F18" s="29"/>
      <c r="G18" s="138" t="s">
        <v>53</v>
      </c>
      <c r="H18" s="29">
        <v>12440</v>
      </c>
      <c r="I18" s="29">
        <v>10771</v>
      </c>
      <c r="J18" s="29">
        <v>13409</v>
      </c>
      <c r="K18" s="29">
        <v>8530</v>
      </c>
      <c r="L18" s="29">
        <v>45150</v>
      </c>
      <c r="M18" s="53"/>
      <c r="N18" s="53"/>
      <c r="O18" s="53"/>
      <c r="W18"/>
    </row>
    <row r="19" spans="1:23" x14ac:dyDescent="0.25">
      <c r="A19" s="28"/>
      <c r="B19" s="53"/>
      <c r="C19" s="53"/>
      <c r="D19" s="53"/>
      <c r="E19" s="53"/>
      <c r="F19" s="53"/>
      <c r="G19" s="28"/>
      <c r="H19" s="28"/>
      <c r="I19" s="53"/>
      <c r="J19" s="28"/>
      <c r="K19" s="28"/>
      <c r="L19" s="28"/>
      <c r="M19" s="53"/>
      <c r="N19" s="53"/>
      <c r="O19" s="53"/>
      <c r="S19"/>
      <c r="T19"/>
      <c r="U19"/>
    </row>
    <row r="20" spans="1:23" ht="30" x14ac:dyDescent="0.25">
      <c r="A20" s="28"/>
      <c r="B20" s="60"/>
      <c r="C20" s="61" t="s">
        <v>54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3"/>
      <c r="O20" s="53"/>
      <c r="P20" s="51" t="s">
        <v>52</v>
      </c>
      <c r="Q20" s="40" t="s">
        <v>59</v>
      </c>
      <c r="R20" s="40" t="s">
        <v>113</v>
      </c>
      <c r="S20" s="40" t="s">
        <v>114</v>
      </c>
      <c r="T20" s="40" t="s">
        <v>51</v>
      </c>
      <c r="U20" s="40" t="s">
        <v>55</v>
      </c>
    </row>
    <row r="21" spans="1:23" x14ac:dyDescent="0.25">
      <c r="A21" s="28"/>
      <c r="B21" s="45"/>
      <c r="C21" s="52" t="s">
        <v>17</v>
      </c>
      <c r="D21" s="65"/>
      <c r="E21" s="53" t="s">
        <v>24</v>
      </c>
      <c r="F21" s="42"/>
      <c r="G21" s="52" t="s">
        <v>13</v>
      </c>
      <c r="H21" s="65"/>
      <c r="I21" s="53" t="s">
        <v>36</v>
      </c>
      <c r="J21" s="42"/>
      <c r="K21" s="52" t="s">
        <v>21</v>
      </c>
      <c r="L21" s="65"/>
      <c r="M21" s="42" t="s">
        <v>134</v>
      </c>
      <c r="N21" s="42" t="s">
        <v>133</v>
      </c>
      <c r="O21" s="53"/>
      <c r="P21" s="44" t="s">
        <v>28</v>
      </c>
      <c r="Q21" s="27">
        <v>134</v>
      </c>
      <c r="R21" s="41">
        <v>7806.4680000000008</v>
      </c>
      <c r="S21" s="41">
        <v>12229.917999999998</v>
      </c>
      <c r="T21" s="41">
        <v>71489.123999999982</v>
      </c>
      <c r="U21" s="41">
        <v>25660.555999999997</v>
      </c>
    </row>
    <row r="22" spans="1:23" x14ac:dyDescent="0.25">
      <c r="A22" s="28"/>
      <c r="B22" s="43" t="s">
        <v>52</v>
      </c>
      <c r="C22" s="54" t="s">
        <v>55</v>
      </c>
      <c r="D22" s="64" t="s">
        <v>82</v>
      </c>
      <c r="E22" s="53" t="s">
        <v>55</v>
      </c>
      <c r="F22" s="42" t="s">
        <v>82</v>
      </c>
      <c r="G22" s="54" t="s">
        <v>55</v>
      </c>
      <c r="H22" s="64" t="s">
        <v>82</v>
      </c>
      <c r="I22" s="53" t="s">
        <v>55</v>
      </c>
      <c r="J22" s="42" t="s">
        <v>82</v>
      </c>
      <c r="K22" s="54" t="s">
        <v>55</v>
      </c>
      <c r="L22" s="64" t="s">
        <v>82</v>
      </c>
      <c r="M22" s="42"/>
      <c r="N22" s="42"/>
      <c r="O22" s="53"/>
      <c r="P22" s="44" t="s">
        <v>11</v>
      </c>
      <c r="Q22" s="27">
        <v>93</v>
      </c>
      <c r="R22" s="41">
        <v>6453.9140000000016</v>
      </c>
      <c r="S22" s="41">
        <v>10274.31</v>
      </c>
      <c r="T22" s="41">
        <v>60907.219999999994</v>
      </c>
      <c r="U22" s="41">
        <v>22598.761999999999</v>
      </c>
    </row>
    <row r="23" spans="1:23" x14ac:dyDescent="0.25">
      <c r="A23" s="28"/>
      <c r="B23" s="45" t="s">
        <v>28</v>
      </c>
      <c r="C23" s="55">
        <v>4293.7579999999998</v>
      </c>
      <c r="D23" s="56">
        <v>360</v>
      </c>
      <c r="E23" s="55">
        <v>3398.6279999999997</v>
      </c>
      <c r="F23" s="56">
        <v>708</v>
      </c>
      <c r="G23" s="55">
        <v>11842.447999999999</v>
      </c>
      <c r="H23" s="56">
        <v>1557</v>
      </c>
      <c r="I23" s="55">
        <v>3245.9879999999998</v>
      </c>
      <c r="J23" s="56">
        <v>353</v>
      </c>
      <c r="K23" s="55">
        <v>2879.7340000000004</v>
      </c>
      <c r="L23" s="56">
        <v>807</v>
      </c>
      <c r="M23" s="56">
        <v>25660.556</v>
      </c>
      <c r="N23" s="56">
        <v>3785</v>
      </c>
      <c r="O23" s="53"/>
      <c r="P23" s="44" t="s">
        <v>34</v>
      </c>
      <c r="Q23" s="27">
        <v>152</v>
      </c>
      <c r="R23" s="41">
        <v>9512.5960000000014</v>
      </c>
      <c r="S23" s="41">
        <v>15073.781999999999</v>
      </c>
      <c r="T23" s="41">
        <v>85927.382000000041</v>
      </c>
      <c r="U23" s="41">
        <v>32709.754000000004</v>
      </c>
    </row>
    <row r="24" spans="1:23" x14ac:dyDescent="0.25">
      <c r="A24" s="28"/>
      <c r="B24" s="45" t="s">
        <v>11</v>
      </c>
      <c r="C24" s="55">
        <v>5351.4080000000004</v>
      </c>
      <c r="D24" s="56">
        <v>866</v>
      </c>
      <c r="E24" s="55">
        <v>1624.048</v>
      </c>
      <c r="F24" s="56">
        <v>31</v>
      </c>
      <c r="G24" s="55">
        <v>7943.1239999999998</v>
      </c>
      <c r="H24" s="56">
        <v>821</v>
      </c>
      <c r="I24" s="55">
        <v>5637.4319999999998</v>
      </c>
      <c r="J24" s="56">
        <v>225</v>
      </c>
      <c r="K24" s="55">
        <v>2042.75</v>
      </c>
      <c r="L24" s="56">
        <v>169</v>
      </c>
      <c r="M24" s="56">
        <v>22598.761999999999</v>
      </c>
      <c r="N24" s="56">
        <v>2112</v>
      </c>
      <c r="O24" s="53"/>
      <c r="P24" s="44" t="s">
        <v>40</v>
      </c>
      <c r="Q24" s="27">
        <v>66</v>
      </c>
      <c r="R24" s="41">
        <v>6414.0119999999988</v>
      </c>
      <c r="S24" s="41">
        <v>9266.4700000000012</v>
      </c>
      <c r="T24" s="41">
        <v>31695.802000000003</v>
      </c>
      <c r="U24" s="41">
        <v>9935.5239999999994</v>
      </c>
    </row>
    <row r="25" spans="1:23" x14ac:dyDescent="0.25">
      <c r="A25" s="28"/>
      <c r="B25" s="45" t="s">
        <v>34</v>
      </c>
      <c r="C25" s="55">
        <v>3002.6620000000003</v>
      </c>
      <c r="D25" s="56">
        <v>698</v>
      </c>
      <c r="E25" s="55">
        <v>9402.7900000000009</v>
      </c>
      <c r="F25" s="56">
        <v>1119</v>
      </c>
      <c r="G25" s="55">
        <v>4618.29</v>
      </c>
      <c r="H25" s="56">
        <v>628</v>
      </c>
      <c r="I25" s="55">
        <v>10801.944</v>
      </c>
      <c r="J25" s="56">
        <v>809</v>
      </c>
      <c r="K25" s="55">
        <v>4884.0679999999993</v>
      </c>
      <c r="L25" s="56">
        <v>1031</v>
      </c>
      <c r="M25" s="56">
        <v>32709.754000000001</v>
      </c>
      <c r="N25" s="56">
        <v>4285</v>
      </c>
      <c r="O25" s="53"/>
      <c r="P25" s="44" t="s">
        <v>31</v>
      </c>
      <c r="Q25" s="27">
        <v>127</v>
      </c>
      <c r="R25" s="41">
        <v>8229.0619999999999</v>
      </c>
      <c r="S25" s="41">
        <v>12003.713999999998</v>
      </c>
      <c r="T25" s="41">
        <v>67048.099999999991</v>
      </c>
      <c r="U25" s="41">
        <v>20259.826000000005</v>
      </c>
    </row>
    <row r="26" spans="1:23" x14ac:dyDescent="0.25">
      <c r="A26" s="28"/>
      <c r="B26" s="45" t="s">
        <v>40</v>
      </c>
      <c r="C26" s="55">
        <v>1403.7</v>
      </c>
      <c r="D26" s="56">
        <v>727</v>
      </c>
      <c r="E26" s="55">
        <v>1756.242</v>
      </c>
      <c r="F26" s="56">
        <v>368</v>
      </c>
      <c r="G26" s="55">
        <v>3581.9699999999993</v>
      </c>
      <c r="H26" s="56">
        <v>912</v>
      </c>
      <c r="I26" s="55">
        <v>598.92399999999998</v>
      </c>
      <c r="J26" s="56">
        <v>474</v>
      </c>
      <c r="K26" s="55">
        <v>2594.6879999999996</v>
      </c>
      <c r="L26" s="56">
        <v>704</v>
      </c>
      <c r="M26" s="56">
        <v>9935.5239999999994</v>
      </c>
      <c r="N26" s="56">
        <v>3185</v>
      </c>
      <c r="O26" s="53"/>
      <c r="P26" s="44" t="s">
        <v>26</v>
      </c>
      <c r="Q26" s="27">
        <v>144</v>
      </c>
      <c r="R26" s="41">
        <v>7467.898000000001</v>
      </c>
      <c r="S26" s="41">
        <v>11276.722</v>
      </c>
      <c r="T26" s="41">
        <v>72780.092000000019</v>
      </c>
      <c r="U26" s="41">
        <v>23124.851999999999</v>
      </c>
    </row>
    <row r="27" spans="1:23" x14ac:dyDescent="0.25">
      <c r="A27" s="28"/>
      <c r="B27" s="45" t="s">
        <v>31</v>
      </c>
      <c r="C27" s="55">
        <v>1238.8420000000001</v>
      </c>
      <c r="D27" s="56">
        <v>397</v>
      </c>
      <c r="E27" s="55">
        <v>7169.2919999999995</v>
      </c>
      <c r="F27" s="56">
        <v>530</v>
      </c>
      <c r="G27" s="55">
        <v>3060.4259999999999</v>
      </c>
      <c r="H27" s="56">
        <v>222</v>
      </c>
      <c r="I27" s="55">
        <v>6967.8360000000002</v>
      </c>
      <c r="J27" s="56">
        <v>1168</v>
      </c>
      <c r="K27" s="55">
        <v>1823.4299999999998</v>
      </c>
      <c r="L27" s="56">
        <v>626</v>
      </c>
      <c r="M27" s="56">
        <v>20259.826000000001</v>
      </c>
      <c r="N27" s="56">
        <v>2943</v>
      </c>
      <c r="O27" s="53"/>
      <c r="P27" s="44" t="s">
        <v>23</v>
      </c>
      <c r="Q27" s="27">
        <v>101</v>
      </c>
      <c r="R27" s="41">
        <v>6503.8980000000001</v>
      </c>
      <c r="S27" s="41">
        <v>10662.558000000001</v>
      </c>
      <c r="T27" s="41">
        <v>63714.661999999997</v>
      </c>
      <c r="U27" s="41">
        <v>24032.519999999997</v>
      </c>
    </row>
    <row r="28" spans="1:23" x14ac:dyDescent="0.25">
      <c r="A28" s="28"/>
      <c r="B28" s="45" t="s">
        <v>26</v>
      </c>
      <c r="C28" s="55">
        <v>5920.2920000000004</v>
      </c>
      <c r="D28" s="56">
        <v>995</v>
      </c>
      <c r="E28" s="55">
        <v>2744.0460000000003</v>
      </c>
      <c r="F28" s="56">
        <v>705</v>
      </c>
      <c r="G28" s="55">
        <v>5132.5519999999997</v>
      </c>
      <c r="H28" s="56">
        <v>634</v>
      </c>
      <c r="I28" s="55">
        <v>4585.2820000000002</v>
      </c>
      <c r="J28" s="56">
        <v>757</v>
      </c>
      <c r="K28" s="55">
        <v>4742.68</v>
      </c>
      <c r="L28" s="56">
        <v>657</v>
      </c>
      <c r="M28" s="56">
        <v>23124.851999999999</v>
      </c>
      <c r="N28" s="56">
        <v>3748</v>
      </c>
      <c r="O28" s="53"/>
      <c r="P28" s="44" t="s">
        <v>42</v>
      </c>
      <c r="Q28" s="27">
        <v>135</v>
      </c>
      <c r="R28" s="41">
        <v>7121.3740000000007</v>
      </c>
      <c r="S28" s="41">
        <v>10626.285999999996</v>
      </c>
      <c r="T28" s="41">
        <v>67269.698000000004</v>
      </c>
      <c r="U28" s="41">
        <v>21301.498</v>
      </c>
    </row>
    <row r="29" spans="1:23" x14ac:dyDescent="0.25">
      <c r="A29" s="28"/>
      <c r="B29" s="45" t="s">
        <v>23</v>
      </c>
      <c r="C29" s="55">
        <v>6101.1639999999998</v>
      </c>
      <c r="D29" s="56">
        <v>793</v>
      </c>
      <c r="E29" s="55">
        <v>6244.23</v>
      </c>
      <c r="F29" s="56">
        <v>587</v>
      </c>
      <c r="G29" s="55">
        <v>11430.758000000002</v>
      </c>
      <c r="H29" s="56">
        <v>1133</v>
      </c>
      <c r="I29" s="55"/>
      <c r="J29" s="56"/>
      <c r="K29" s="55">
        <v>256.36799999999999</v>
      </c>
      <c r="L29" s="56">
        <v>287</v>
      </c>
      <c r="M29" s="56">
        <v>24032.52</v>
      </c>
      <c r="N29" s="56">
        <v>2800</v>
      </c>
      <c r="O29" s="53"/>
      <c r="P29" s="44" t="s">
        <v>15</v>
      </c>
      <c r="Q29" s="27">
        <v>128</v>
      </c>
      <c r="R29" s="41">
        <v>6908.3100000000013</v>
      </c>
      <c r="S29" s="41">
        <v>11750.192000000001</v>
      </c>
      <c r="T29" s="41">
        <v>73712.847999999998</v>
      </c>
      <c r="U29" s="41">
        <v>30512.235999999997</v>
      </c>
    </row>
    <row r="30" spans="1:23" x14ac:dyDescent="0.25">
      <c r="A30" s="28"/>
      <c r="B30" s="45" t="s">
        <v>42</v>
      </c>
      <c r="C30" s="55">
        <v>819.024</v>
      </c>
      <c r="D30" s="56">
        <v>434</v>
      </c>
      <c r="E30" s="55">
        <v>3227.1800000000003</v>
      </c>
      <c r="F30" s="56">
        <v>119</v>
      </c>
      <c r="G30" s="55">
        <v>5005.0719999999992</v>
      </c>
      <c r="H30" s="56">
        <v>802</v>
      </c>
      <c r="I30" s="55">
        <v>4589.0560000000005</v>
      </c>
      <c r="J30" s="56">
        <v>595</v>
      </c>
      <c r="K30" s="55">
        <v>7661.1660000000011</v>
      </c>
      <c r="L30" s="56">
        <v>425</v>
      </c>
      <c r="M30" s="56">
        <v>21301.498</v>
      </c>
      <c r="N30" s="56">
        <v>2375</v>
      </c>
      <c r="O30" s="53"/>
      <c r="P30" s="44" t="s">
        <v>41</v>
      </c>
      <c r="Q30" s="27">
        <v>108</v>
      </c>
      <c r="R30" s="41">
        <v>6374.4940000000006</v>
      </c>
      <c r="S30" s="41">
        <v>9199.18</v>
      </c>
      <c r="T30" s="41">
        <v>53166.815999999992</v>
      </c>
      <c r="U30" s="41">
        <v>16038.513999999999</v>
      </c>
    </row>
    <row r="31" spans="1:23" x14ac:dyDescent="0.25">
      <c r="A31" s="28"/>
      <c r="B31" s="45" t="s">
        <v>15</v>
      </c>
      <c r="C31" s="55">
        <v>4273.3239999999996</v>
      </c>
      <c r="D31" s="56">
        <v>1168</v>
      </c>
      <c r="E31" s="55">
        <v>9293.0339999999997</v>
      </c>
      <c r="F31" s="56">
        <v>827</v>
      </c>
      <c r="G31" s="55">
        <v>4266.5320000000002</v>
      </c>
      <c r="H31" s="56">
        <v>388</v>
      </c>
      <c r="I31" s="55">
        <v>4095.002</v>
      </c>
      <c r="J31" s="56">
        <v>346</v>
      </c>
      <c r="K31" s="55">
        <v>8584.3439999999991</v>
      </c>
      <c r="L31" s="56">
        <v>787</v>
      </c>
      <c r="M31" s="56">
        <v>30512.235999999997</v>
      </c>
      <c r="N31" s="56">
        <v>3516</v>
      </c>
      <c r="O31" s="53"/>
      <c r="P31" s="44" t="s">
        <v>39</v>
      </c>
      <c r="Q31" s="27">
        <v>137</v>
      </c>
      <c r="R31" s="41">
        <v>8026.6880000000001</v>
      </c>
      <c r="S31" s="41">
        <v>12025.358000000002</v>
      </c>
      <c r="T31" s="41">
        <v>72907.285999999978</v>
      </c>
      <c r="U31" s="41">
        <v>25039.691999999999</v>
      </c>
    </row>
    <row r="32" spans="1:23" x14ac:dyDescent="0.25">
      <c r="A32" s="28"/>
      <c r="B32" s="45" t="s">
        <v>41</v>
      </c>
      <c r="C32" s="55">
        <v>58.92</v>
      </c>
      <c r="D32" s="56">
        <v>88</v>
      </c>
      <c r="E32" s="55">
        <v>5049.5259999999998</v>
      </c>
      <c r="F32" s="56">
        <v>757</v>
      </c>
      <c r="G32" s="55">
        <v>3537.174</v>
      </c>
      <c r="H32" s="56">
        <v>729</v>
      </c>
      <c r="I32" s="55">
        <v>3609.6980000000003</v>
      </c>
      <c r="J32" s="56">
        <v>564</v>
      </c>
      <c r="K32" s="55">
        <v>3783.1959999999995</v>
      </c>
      <c r="L32" s="56">
        <v>780</v>
      </c>
      <c r="M32" s="56">
        <v>16038.513999999999</v>
      </c>
      <c r="N32" s="56">
        <v>2918</v>
      </c>
      <c r="O32" s="53"/>
      <c r="P32" s="44" t="s">
        <v>35</v>
      </c>
      <c r="Q32" s="27">
        <v>166</v>
      </c>
      <c r="R32" s="41">
        <v>11450.658000000001</v>
      </c>
      <c r="S32" s="41">
        <v>17420.16</v>
      </c>
      <c r="T32" s="41">
        <v>93440.101999999984</v>
      </c>
      <c r="U32" s="41">
        <v>32544.749999999993</v>
      </c>
    </row>
    <row r="33" spans="1:21" x14ac:dyDescent="0.25">
      <c r="A33" s="28"/>
      <c r="B33" s="45" t="s">
        <v>39</v>
      </c>
      <c r="C33" s="55">
        <v>3485.77</v>
      </c>
      <c r="D33" s="56">
        <v>466</v>
      </c>
      <c r="E33" s="55">
        <v>2105.9499999999998</v>
      </c>
      <c r="F33" s="56">
        <v>262</v>
      </c>
      <c r="G33" s="55">
        <v>6683.9859999999999</v>
      </c>
      <c r="H33" s="56">
        <v>680</v>
      </c>
      <c r="I33" s="55">
        <v>3912.5359999999996</v>
      </c>
      <c r="J33" s="56">
        <v>635</v>
      </c>
      <c r="K33" s="55">
        <v>8851.4500000000007</v>
      </c>
      <c r="L33" s="56">
        <v>525</v>
      </c>
      <c r="M33" s="56">
        <v>25039.691999999999</v>
      </c>
      <c r="N33" s="56">
        <v>2568</v>
      </c>
      <c r="O33" s="53"/>
      <c r="P33" s="44" t="s">
        <v>43</v>
      </c>
      <c r="Q33" s="27">
        <v>123</v>
      </c>
      <c r="R33" s="41">
        <v>4779.9080000000004</v>
      </c>
      <c r="S33" s="41">
        <v>7267.1939999999995</v>
      </c>
      <c r="T33" s="41">
        <v>54699.010000000009</v>
      </c>
      <c r="U33" s="41">
        <v>18612.147999999994</v>
      </c>
    </row>
    <row r="34" spans="1:21" x14ac:dyDescent="0.25">
      <c r="A34" s="28"/>
      <c r="B34" s="45" t="s">
        <v>35</v>
      </c>
      <c r="C34" s="55">
        <v>10949.632000000001</v>
      </c>
      <c r="D34" s="56">
        <v>1373</v>
      </c>
      <c r="E34" s="55">
        <v>5482.3440000000001</v>
      </c>
      <c r="F34" s="56">
        <v>915</v>
      </c>
      <c r="G34" s="55">
        <v>7182.4719999999988</v>
      </c>
      <c r="H34" s="56">
        <v>1199</v>
      </c>
      <c r="I34" s="55">
        <v>7331.6440000000011</v>
      </c>
      <c r="J34" s="56">
        <v>838</v>
      </c>
      <c r="K34" s="55">
        <v>1598.6579999999999</v>
      </c>
      <c r="L34" s="56">
        <v>379</v>
      </c>
      <c r="M34" s="56">
        <v>32544.75</v>
      </c>
      <c r="N34" s="56">
        <v>4704</v>
      </c>
      <c r="O34" s="53"/>
      <c r="P34" s="44" t="s">
        <v>19</v>
      </c>
      <c r="Q34" s="27">
        <v>131</v>
      </c>
      <c r="R34" s="41">
        <v>6985.2919999999995</v>
      </c>
      <c r="S34" s="41">
        <v>10467.492</v>
      </c>
      <c r="T34" s="41">
        <v>62780.329999999987</v>
      </c>
      <c r="U34" s="41">
        <v>21040.648000000001</v>
      </c>
    </row>
    <row r="35" spans="1:21" x14ac:dyDescent="0.25">
      <c r="A35" s="28"/>
      <c r="B35" s="45" t="s">
        <v>43</v>
      </c>
      <c r="C35" s="55">
        <v>4400.8320000000003</v>
      </c>
      <c r="D35" s="56">
        <v>165</v>
      </c>
      <c r="E35" s="55">
        <v>3940.7640000000001</v>
      </c>
      <c r="F35" s="56">
        <v>281</v>
      </c>
      <c r="G35" s="55">
        <v>872.3</v>
      </c>
      <c r="H35" s="56">
        <v>555</v>
      </c>
      <c r="I35" s="55">
        <v>4002.5039999999995</v>
      </c>
      <c r="J35" s="56">
        <v>1204</v>
      </c>
      <c r="K35" s="55">
        <v>5395.7479999999996</v>
      </c>
      <c r="L35" s="56">
        <v>867</v>
      </c>
      <c r="M35" s="56">
        <v>18612.148000000001</v>
      </c>
      <c r="N35" s="56">
        <v>3072</v>
      </c>
      <c r="O35" s="53"/>
      <c r="P35" s="45" t="s">
        <v>53</v>
      </c>
      <c r="Q35" s="27">
        <v>1745</v>
      </c>
      <c r="R35" s="27">
        <v>104034.572</v>
      </c>
      <c r="S35" s="27">
        <v>159543.33599999998</v>
      </c>
      <c r="T35" s="27">
        <v>931538.47199999995</v>
      </c>
      <c r="U35" s="27">
        <v>323411.27999999997</v>
      </c>
    </row>
    <row r="36" spans="1:21" x14ac:dyDescent="0.25">
      <c r="A36" s="28"/>
      <c r="B36" s="45" t="s">
        <v>19</v>
      </c>
      <c r="C36" s="55">
        <v>5281.4739999999993</v>
      </c>
      <c r="D36" s="56">
        <v>747</v>
      </c>
      <c r="E36" s="55">
        <v>3408.692</v>
      </c>
      <c r="F36" s="56">
        <v>835</v>
      </c>
      <c r="G36" s="55">
        <v>3041.6519999999996</v>
      </c>
      <c r="H36" s="56">
        <v>431</v>
      </c>
      <c r="I36" s="55">
        <v>6414.6940000000004</v>
      </c>
      <c r="J36" s="56">
        <v>806</v>
      </c>
      <c r="K36" s="55">
        <v>2894.136</v>
      </c>
      <c r="L36" s="56">
        <v>320</v>
      </c>
      <c r="M36" s="56">
        <v>21040.647999999997</v>
      </c>
      <c r="N36" s="56">
        <v>3139</v>
      </c>
      <c r="O36" s="53"/>
      <c r="P36"/>
      <c r="Q36"/>
      <c r="R36"/>
      <c r="S36"/>
      <c r="T36"/>
      <c r="U36"/>
    </row>
    <row r="37" spans="1:21" x14ac:dyDescent="0.25">
      <c r="A37" s="28"/>
      <c r="B37" s="57" t="s">
        <v>53</v>
      </c>
      <c r="C37" s="58">
        <v>56580.802000000003</v>
      </c>
      <c r="D37" s="58">
        <v>9277</v>
      </c>
      <c r="E37" s="58">
        <v>64846.766000000003</v>
      </c>
      <c r="F37" s="58">
        <v>8044</v>
      </c>
      <c r="G37" s="58">
        <v>78198.755999999994</v>
      </c>
      <c r="H37" s="58">
        <v>10691</v>
      </c>
      <c r="I37" s="58">
        <v>65792.539999999994</v>
      </c>
      <c r="J37" s="58">
        <v>8774</v>
      </c>
      <c r="K37" s="58">
        <v>57992.415999999997</v>
      </c>
      <c r="L37" s="58">
        <v>8364</v>
      </c>
      <c r="M37" s="58">
        <v>323411.27999999997</v>
      </c>
      <c r="N37" s="59">
        <v>45150</v>
      </c>
      <c r="O37" s="53"/>
    </row>
    <row r="38" spans="1:21" ht="15.75" thickBot="1" x14ac:dyDescent="0.3">
      <c r="A38" s="28"/>
      <c r="B38" s="28"/>
      <c r="C38" s="28"/>
      <c r="D38" s="28"/>
      <c r="G38" s="28"/>
      <c r="H38" s="28"/>
      <c r="I38" s="28"/>
      <c r="J38" s="53"/>
      <c r="K38" s="53"/>
      <c r="L38" s="53"/>
      <c r="M38" s="53"/>
      <c r="N38" s="53"/>
      <c r="O38" s="53"/>
      <c r="Q38"/>
      <c r="R38"/>
      <c r="S38"/>
      <c r="T38"/>
    </row>
    <row r="39" spans="1:21" ht="18.75" x14ac:dyDescent="0.25">
      <c r="A39" s="28"/>
      <c r="B39" s="104" t="s">
        <v>73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Q39" s="2" t="s">
        <v>51</v>
      </c>
      <c r="R39" s="2" t="s">
        <v>55</v>
      </c>
      <c r="S39" s="2" t="s">
        <v>76</v>
      </c>
      <c r="T39" s="37" t="s">
        <v>77</v>
      </c>
    </row>
    <row r="40" spans="1:21" x14ac:dyDescent="0.25">
      <c r="A40" s="28"/>
      <c r="B40" s="21" t="s">
        <v>52</v>
      </c>
      <c r="C40" s="20" t="s">
        <v>55</v>
      </c>
      <c r="D40" s="28"/>
      <c r="G40" s="28"/>
      <c r="H40" s="28"/>
      <c r="I40" s="28"/>
      <c r="J40" s="28"/>
      <c r="K40" s="28"/>
      <c r="L40" s="28"/>
      <c r="M40" s="28"/>
      <c r="N40" s="28"/>
      <c r="O40" s="28"/>
      <c r="Q40" s="41">
        <v>931538.47199999983</v>
      </c>
      <c r="R40" s="27">
        <v>323411.28000000038</v>
      </c>
      <c r="S40" s="41">
        <v>3105.1282399999996</v>
      </c>
      <c r="T40" s="41">
        <f>R40/Q40</f>
        <v>0.34717973515966655</v>
      </c>
    </row>
    <row r="41" spans="1:21" x14ac:dyDescent="0.25">
      <c r="A41" s="28"/>
      <c r="B41" s="20" t="s">
        <v>44</v>
      </c>
      <c r="C41" s="34">
        <v>23568.284</v>
      </c>
      <c r="D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21" x14ac:dyDescent="0.25">
      <c r="A42" s="28"/>
      <c r="B42" s="20" t="s">
        <v>30</v>
      </c>
      <c r="C42" s="34">
        <v>23989.152000000006</v>
      </c>
      <c r="D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21" x14ac:dyDescent="0.25">
      <c r="A43" s="28"/>
      <c r="B43" s="20" t="s">
        <v>22</v>
      </c>
      <c r="C43" s="34">
        <v>27960.573999999993</v>
      </c>
      <c r="D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21" x14ac:dyDescent="0.25">
      <c r="A44" s="28"/>
      <c r="B44" s="20" t="s">
        <v>33</v>
      </c>
      <c r="C44" s="34">
        <v>28018.05</v>
      </c>
      <c r="D44" s="28"/>
      <c r="G44" s="28"/>
      <c r="H44" s="28"/>
      <c r="I44" s="28"/>
      <c r="J44" s="28"/>
      <c r="K44" s="28"/>
      <c r="L44" s="28"/>
      <c r="M44" s="28"/>
      <c r="N44" s="28"/>
      <c r="O44" s="28"/>
      <c r="Q44" s="134">
        <f>GETPIVOTDATA("Soma de Receita",$Q$39)</f>
        <v>931538.47199999983</v>
      </c>
      <c r="R44" s="134">
        <f>GETPIVOTDATA("Soma de Lucro",$Q$39)</f>
        <v>323411.28000000038</v>
      </c>
      <c r="S44" s="134">
        <f>GETPIVOTDATA("Média de Receita",$Q$39)</f>
        <v>3105.1282399999996</v>
      </c>
      <c r="T44" s="134">
        <f>T40</f>
        <v>0.34717973515966655</v>
      </c>
    </row>
    <row r="45" spans="1:21" x14ac:dyDescent="0.25">
      <c r="A45" s="28"/>
      <c r="B45" s="20" t="s">
        <v>38</v>
      </c>
      <c r="C45" s="34">
        <v>31378.573999999993</v>
      </c>
      <c r="D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21" x14ac:dyDescent="0.25">
      <c r="A46" s="28"/>
      <c r="B46" s="20" t="s">
        <v>37</v>
      </c>
      <c r="C46" s="34">
        <v>32247.142000000007</v>
      </c>
      <c r="D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21" x14ac:dyDescent="0.25">
      <c r="A47" s="28"/>
      <c r="B47" s="20" t="s">
        <v>25</v>
      </c>
      <c r="C47" s="34">
        <v>34848.556000000011</v>
      </c>
      <c r="D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21" x14ac:dyDescent="0.25">
      <c r="A48" s="28"/>
      <c r="B48" s="20" t="s">
        <v>14</v>
      </c>
      <c r="C48" s="34">
        <v>35528.863999999994</v>
      </c>
      <c r="D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x14ac:dyDescent="0.25">
      <c r="A49" s="28"/>
      <c r="B49" s="20" t="s">
        <v>32</v>
      </c>
      <c r="C49" s="34">
        <v>37646.328000000009</v>
      </c>
      <c r="D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 x14ac:dyDescent="0.25">
      <c r="A50" s="28"/>
      <c r="B50" s="20" t="s">
        <v>18</v>
      </c>
      <c r="C50" s="34">
        <v>48225.755999999994</v>
      </c>
      <c r="D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x14ac:dyDescent="0.25">
      <c r="A51" s="28"/>
      <c r="B51" s="20" t="s">
        <v>53</v>
      </c>
      <c r="C51" s="22">
        <v>323411.28000000003</v>
      </c>
      <c r="D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x14ac:dyDescent="0.25">
      <c r="A52" s="28"/>
      <c r="B52" s="28"/>
      <c r="C52" s="28"/>
      <c r="D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x14ac:dyDescent="0.25">
      <c r="A53" s="28"/>
      <c r="B53" s="28"/>
      <c r="C53" s="28"/>
      <c r="D53" s="28"/>
      <c r="G53" s="28"/>
      <c r="H53" s="28"/>
      <c r="I53" s="28"/>
      <c r="J53" s="53"/>
      <c r="K53" s="53"/>
      <c r="L53" s="53"/>
      <c r="M53" s="53"/>
      <c r="N53" s="53"/>
      <c r="O53" s="53"/>
    </row>
    <row r="54" spans="1:15" x14ac:dyDescent="0.25">
      <c r="A54" s="28"/>
    </row>
    <row r="68" spans="5:19" x14ac:dyDescent="0.25">
      <c r="E68"/>
      <c r="F68"/>
    </row>
    <row r="69" spans="5:19" x14ac:dyDescent="0.25">
      <c r="E69"/>
      <c r="F69"/>
    </row>
    <row r="70" spans="5:19" x14ac:dyDescent="0.25">
      <c r="E70"/>
      <c r="F70"/>
    </row>
    <row r="71" spans="5:19" x14ac:dyDescent="0.25">
      <c r="E71"/>
      <c r="F71"/>
    </row>
    <row r="72" spans="5:19" x14ac:dyDescent="0.25">
      <c r="E72"/>
      <c r="F72"/>
      <c r="M72" s="8"/>
      <c r="N72" s="8"/>
      <c r="O72" s="8"/>
      <c r="P72" s="8"/>
      <c r="Q72" s="8"/>
      <c r="R72" s="8"/>
      <c r="S72" s="8"/>
    </row>
    <row r="73" spans="5:19" x14ac:dyDescent="0.25">
      <c r="E73"/>
      <c r="F73"/>
      <c r="M73" s="8"/>
      <c r="N73" s="8"/>
      <c r="O73" s="8"/>
      <c r="P73" s="8"/>
      <c r="Q73" s="8"/>
      <c r="R73" s="8"/>
      <c r="S73" s="8"/>
    </row>
    <row r="74" spans="5:19" x14ac:dyDescent="0.25">
      <c r="E74"/>
      <c r="F74"/>
      <c r="M74" s="8"/>
      <c r="N74" s="8"/>
      <c r="O74" s="8"/>
      <c r="P74" s="8"/>
      <c r="Q74" s="8"/>
      <c r="R74" s="8"/>
      <c r="S74" s="8"/>
    </row>
    <row r="75" spans="5:19" x14ac:dyDescent="0.25">
      <c r="E75"/>
      <c r="F75"/>
      <c r="M75" s="8"/>
      <c r="N75" s="8"/>
      <c r="O75" s="8"/>
      <c r="P75" s="8"/>
      <c r="Q75" s="8"/>
      <c r="R75" s="8"/>
      <c r="S75" s="8"/>
    </row>
    <row r="76" spans="5:19" x14ac:dyDescent="0.25">
      <c r="E76"/>
      <c r="F76"/>
      <c r="M76" s="8"/>
      <c r="N76" s="8"/>
      <c r="O76" s="8"/>
      <c r="P76" s="8"/>
      <c r="Q76" s="8"/>
      <c r="R76" s="8"/>
      <c r="S76" s="8"/>
    </row>
    <row r="77" spans="5:19" x14ac:dyDescent="0.25">
      <c r="E77"/>
      <c r="F77"/>
      <c r="M77" s="8"/>
      <c r="N77" s="8"/>
      <c r="O77" s="8"/>
      <c r="P77" s="8"/>
      <c r="Q77" s="8"/>
      <c r="R77" s="8"/>
      <c r="S77" s="8"/>
    </row>
    <row r="78" spans="5:19" x14ac:dyDescent="0.25">
      <c r="E78"/>
      <c r="F78"/>
      <c r="M78" s="8"/>
      <c r="N78" s="8"/>
      <c r="O78" s="8"/>
      <c r="P78" s="8"/>
      <c r="Q78" s="8"/>
      <c r="R78" s="8"/>
      <c r="S78" s="8"/>
    </row>
    <row r="79" spans="5:19" x14ac:dyDescent="0.25">
      <c r="E79"/>
      <c r="F79"/>
      <c r="M79" s="8"/>
      <c r="N79" s="8"/>
      <c r="O79" s="8"/>
      <c r="P79" s="8"/>
      <c r="Q79" s="8"/>
      <c r="R79" s="8"/>
      <c r="S79" s="8"/>
    </row>
    <row r="80" spans="5:19" x14ac:dyDescent="0.25">
      <c r="E80"/>
      <c r="F80"/>
      <c r="M80" s="8"/>
      <c r="N80" s="8"/>
      <c r="O80" s="8"/>
      <c r="P80" s="8"/>
      <c r="Q80" s="8"/>
      <c r="R80" s="8"/>
      <c r="S80" s="8"/>
    </row>
    <row r="81" spans="5:19" x14ac:dyDescent="0.25">
      <c r="E81"/>
      <c r="F81"/>
      <c r="M81" s="8"/>
      <c r="N81" s="8"/>
      <c r="O81" s="8"/>
      <c r="P81" s="8"/>
      <c r="Q81" s="8"/>
      <c r="R81" s="8"/>
      <c r="S81" s="8"/>
    </row>
    <row r="82" spans="5:19" x14ac:dyDescent="0.25">
      <c r="E82"/>
      <c r="F82"/>
      <c r="M82" s="8"/>
      <c r="N82" s="8"/>
      <c r="O82" s="8"/>
      <c r="P82" s="8"/>
      <c r="Q82" s="8"/>
      <c r="R82" s="8"/>
      <c r="S82" s="8"/>
    </row>
    <row r="83" spans="5:19" x14ac:dyDescent="0.25">
      <c r="E83"/>
      <c r="F83"/>
      <c r="M83" s="8"/>
      <c r="N83" s="8"/>
      <c r="O83" s="8"/>
      <c r="P83" s="8"/>
      <c r="Q83" s="8"/>
      <c r="R83" s="8"/>
      <c r="S83" s="8"/>
    </row>
    <row r="84" spans="5:19" x14ac:dyDescent="0.25">
      <c r="E84"/>
      <c r="F84"/>
      <c r="M84" s="8"/>
      <c r="N84" s="8"/>
      <c r="O84" s="8"/>
      <c r="P84" s="8"/>
      <c r="Q84" s="8"/>
      <c r="R84" s="8"/>
      <c r="S84" s="8"/>
    </row>
    <row r="85" spans="5:19" x14ac:dyDescent="0.25">
      <c r="E85"/>
      <c r="F85"/>
    </row>
    <row r="86" spans="5:19" x14ac:dyDescent="0.25">
      <c r="E86"/>
      <c r="F86"/>
    </row>
    <row r="105" spans="5:6" x14ac:dyDescent="0.25">
      <c r="E105"/>
      <c r="F105"/>
    </row>
    <row r="106" spans="5:6" x14ac:dyDescent="0.25">
      <c r="E106"/>
      <c r="F106"/>
    </row>
    <row r="107" spans="5:6" x14ac:dyDescent="0.25">
      <c r="E107"/>
      <c r="F107"/>
    </row>
    <row r="108" spans="5:6" x14ac:dyDescent="0.25">
      <c r="E108"/>
      <c r="F108"/>
    </row>
    <row r="109" spans="5:6" x14ac:dyDescent="0.25">
      <c r="E109"/>
      <c r="F109"/>
    </row>
    <row r="110" spans="5:6" x14ac:dyDescent="0.25">
      <c r="E110"/>
      <c r="F110"/>
    </row>
    <row r="111" spans="5:6" x14ac:dyDescent="0.25">
      <c r="E111"/>
      <c r="F111"/>
    </row>
    <row r="112" spans="5:6" x14ac:dyDescent="0.25">
      <c r="E112"/>
      <c r="F112"/>
    </row>
    <row r="113" spans="5:6" x14ac:dyDescent="0.25">
      <c r="E113"/>
      <c r="F113"/>
    </row>
    <row r="114" spans="5:6" x14ac:dyDescent="0.25">
      <c r="E114"/>
      <c r="F114"/>
    </row>
    <row r="115" spans="5:6" x14ac:dyDescent="0.25">
      <c r="E115"/>
      <c r="F115"/>
    </row>
    <row r="116" spans="5:6" x14ac:dyDescent="0.25">
      <c r="E116"/>
      <c r="F116"/>
    </row>
    <row r="117" spans="5:6" x14ac:dyDescent="0.25">
      <c r="E117"/>
      <c r="F117"/>
    </row>
    <row r="118" spans="5:6" x14ac:dyDescent="0.25">
      <c r="E118"/>
      <c r="F118"/>
    </row>
    <row r="119" spans="5:6" x14ac:dyDescent="0.25">
      <c r="E119"/>
      <c r="F119"/>
    </row>
    <row r="120" spans="5:6" x14ac:dyDescent="0.25">
      <c r="E120"/>
      <c r="F120"/>
    </row>
    <row r="121" spans="5:6" x14ac:dyDescent="0.25">
      <c r="E121"/>
      <c r="F121"/>
    </row>
    <row r="122" spans="5:6" x14ac:dyDescent="0.25">
      <c r="E122"/>
      <c r="F122"/>
    </row>
    <row r="123" spans="5:6" x14ac:dyDescent="0.25">
      <c r="E123"/>
      <c r="F123"/>
    </row>
    <row r="124" spans="5:6" x14ac:dyDescent="0.25">
      <c r="E124"/>
      <c r="F124"/>
    </row>
    <row r="125" spans="5:6" x14ac:dyDescent="0.25">
      <c r="E125"/>
      <c r="F125"/>
    </row>
    <row r="126" spans="5:6" x14ac:dyDescent="0.25">
      <c r="E126"/>
      <c r="F126"/>
    </row>
    <row r="127" spans="5:6" x14ac:dyDescent="0.25">
      <c r="E127"/>
      <c r="F127"/>
    </row>
    <row r="128" spans="5:6" x14ac:dyDescent="0.25">
      <c r="E128"/>
      <c r="F128"/>
    </row>
    <row r="129" spans="5:6" x14ac:dyDescent="0.25">
      <c r="E129"/>
      <c r="F129"/>
    </row>
    <row r="130" spans="5:6" x14ac:dyDescent="0.25">
      <c r="E130"/>
      <c r="F130"/>
    </row>
    <row r="131" spans="5:6" x14ac:dyDescent="0.25">
      <c r="E131"/>
      <c r="F131"/>
    </row>
    <row r="132" spans="5:6" x14ac:dyDescent="0.25">
      <c r="E132"/>
      <c r="F132"/>
    </row>
    <row r="133" spans="5:6" x14ac:dyDescent="0.25">
      <c r="E133"/>
      <c r="F133"/>
    </row>
    <row r="134" spans="5:6" x14ac:dyDescent="0.25">
      <c r="E134"/>
      <c r="F134"/>
    </row>
    <row r="135" spans="5:6" x14ac:dyDescent="0.25">
      <c r="E135"/>
      <c r="F135"/>
    </row>
    <row r="136" spans="5:6" x14ac:dyDescent="0.25">
      <c r="E136"/>
      <c r="F136"/>
    </row>
    <row r="137" spans="5:6" x14ac:dyDescent="0.25">
      <c r="E137"/>
      <c r="F137"/>
    </row>
    <row r="138" spans="5:6" x14ac:dyDescent="0.25">
      <c r="E138"/>
      <c r="F138"/>
    </row>
    <row r="139" spans="5:6" x14ac:dyDescent="0.25">
      <c r="E139"/>
      <c r="F139"/>
    </row>
    <row r="140" spans="5:6" x14ac:dyDescent="0.25">
      <c r="E140"/>
      <c r="F140"/>
    </row>
    <row r="141" spans="5:6" x14ac:dyDescent="0.25">
      <c r="E141"/>
      <c r="F141"/>
    </row>
    <row r="142" spans="5:6" x14ac:dyDescent="0.25">
      <c r="E142"/>
      <c r="F142"/>
    </row>
    <row r="143" spans="5:6" x14ac:dyDescent="0.25">
      <c r="E143"/>
      <c r="F143"/>
    </row>
    <row r="144" spans="5:6" x14ac:dyDescent="0.25">
      <c r="E144"/>
      <c r="F144"/>
    </row>
    <row r="145" spans="5:6" x14ac:dyDescent="0.25">
      <c r="E145"/>
      <c r="F145"/>
    </row>
    <row r="146" spans="5:6" x14ac:dyDescent="0.25">
      <c r="E146"/>
      <c r="F146"/>
    </row>
    <row r="147" spans="5:6" x14ac:dyDescent="0.25">
      <c r="E147"/>
      <c r="F147"/>
    </row>
    <row r="148" spans="5:6" x14ac:dyDescent="0.25">
      <c r="E148"/>
      <c r="F148"/>
    </row>
    <row r="149" spans="5:6" x14ac:dyDescent="0.25">
      <c r="E149"/>
      <c r="F149"/>
    </row>
    <row r="150" spans="5:6" x14ac:dyDescent="0.25">
      <c r="E150"/>
      <c r="F150"/>
    </row>
    <row r="151" spans="5:6" x14ac:dyDescent="0.25">
      <c r="E151"/>
      <c r="F151"/>
    </row>
    <row r="152" spans="5:6" x14ac:dyDescent="0.25">
      <c r="E152"/>
      <c r="F152"/>
    </row>
    <row r="153" spans="5:6" x14ac:dyDescent="0.25">
      <c r="E153"/>
      <c r="F153"/>
    </row>
    <row r="154" spans="5:6" x14ac:dyDescent="0.25">
      <c r="E154"/>
      <c r="F154"/>
    </row>
    <row r="155" spans="5:6" x14ac:dyDescent="0.25">
      <c r="E155"/>
      <c r="F155"/>
    </row>
    <row r="156" spans="5:6" x14ac:dyDescent="0.25">
      <c r="E156"/>
      <c r="F156"/>
    </row>
    <row r="157" spans="5:6" x14ac:dyDescent="0.25">
      <c r="E157"/>
      <c r="F157"/>
    </row>
    <row r="158" spans="5:6" x14ac:dyDescent="0.25">
      <c r="E158"/>
      <c r="F158"/>
    </row>
    <row r="159" spans="5:6" x14ac:dyDescent="0.25">
      <c r="E159"/>
      <c r="F159"/>
    </row>
    <row r="160" spans="5:6" x14ac:dyDescent="0.25">
      <c r="E160"/>
      <c r="F160"/>
    </row>
    <row r="161" spans="5:6" x14ac:dyDescent="0.25">
      <c r="E161"/>
      <c r="F161"/>
    </row>
    <row r="162" spans="5:6" x14ac:dyDescent="0.25">
      <c r="E162"/>
      <c r="F162"/>
    </row>
    <row r="163" spans="5:6" x14ac:dyDescent="0.25">
      <c r="E163"/>
      <c r="F163"/>
    </row>
    <row r="164" spans="5:6" x14ac:dyDescent="0.25">
      <c r="E164"/>
      <c r="F164"/>
    </row>
    <row r="165" spans="5:6" x14ac:dyDescent="0.25">
      <c r="E165"/>
      <c r="F165"/>
    </row>
    <row r="166" spans="5:6" x14ac:dyDescent="0.25">
      <c r="E166"/>
      <c r="F166"/>
    </row>
    <row r="167" spans="5:6" x14ac:dyDescent="0.25">
      <c r="E167"/>
      <c r="F167"/>
    </row>
    <row r="168" spans="5:6" x14ac:dyDescent="0.25">
      <c r="E168"/>
      <c r="F168"/>
    </row>
    <row r="169" spans="5:6" x14ac:dyDescent="0.25">
      <c r="E169"/>
      <c r="F169"/>
    </row>
    <row r="170" spans="5:6" x14ac:dyDescent="0.25">
      <c r="E170"/>
      <c r="F170"/>
    </row>
    <row r="171" spans="5:6" x14ac:dyDescent="0.25">
      <c r="E171"/>
      <c r="F171"/>
    </row>
    <row r="172" spans="5:6" x14ac:dyDescent="0.25">
      <c r="E172"/>
      <c r="F172"/>
    </row>
    <row r="173" spans="5:6" x14ac:dyDescent="0.25">
      <c r="E173"/>
      <c r="F173"/>
    </row>
    <row r="174" spans="5:6" x14ac:dyDescent="0.25">
      <c r="E174"/>
      <c r="F174"/>
    </row>
    <row r="175" spans="5:6" x14ac:dyDescent="0.25">
      <c r="E175"/>
      <c r="F175"/>
    </row>
    <row r="176" spans="5:6" x14ac:dyDescent="0.25">
      <c r="E176"/>
      <c r="F176"/>
    </row>
    <row r="177" spans="5:6" x14ac:dyDescent="0.25">
      <c r="E177"/>
      <c r="F177"/>
    </row>
    <row r="178" spans="5:6" x14ac:dyDescent="0.25">
      <c r="E178"/>
      <c r="F178"/>
    </row>
    <row r="179" spans="5:6" x14ac:dyDescent="0.25">
      <c r="E179"/>
      <c r="F179"/>
    </row>
    <row r="180" spans="5:6" x14ac:dyDescent="0.25">
      <c r="E180"/>
      <c r="F180"/>
    </row>
    <row r="181" spans="5:6" x14ac:dyDescent="0.25">
      <c r="E181"/>
      <c r="F181"/>
    </row>
    <row r="182" spans="5:6" x14ac:dyDescent="0.25">
      <c r="E182"/>
      <c r="F182"/>
    </row>
  </sheetData>
  <mergeCells count="3">
    <mergeCell ref="B2:C2"/>
    <mergeCell ref="Q3:R3"/>
    <mergeCell ref="B39:O39"/>
  </mergeCells>
  <conditionalFormatting pivot="1">
    <cfRule type="colorScale" priority="19">
      <colorScale>
        <cfvo type="min"/>
        <cfvo type="max"/>
        <color rgb="FFFFEF9C"/>
        <color rgb="FF63BE7B"/>
      </colorScale>
    </cfRule>
  </conditionalFormatting>
  <conditionalFormatting pivot="1" sqref="D23:D36">
    <cfRule type="colorScale" priority="18">
      <colorScale>
        <cfvo type="min"/>
        <cfvo type="max"/>
        <color rgb="FFFFEF9C"/>
        <color rgb="FF63BE7B"/>
      </colorScale>
    </cfRule>
  </conditionalFormatting>
  <conditionalFormatting pivot="1" sqref="F23:F36">
    <cfRule type="colorScale" priority="17">
      <colorScale>
        <cfvo type="min"/>
        <cfvo type="max"/>
        <color rgb="FFFFEF9C"/>
        <color rgb="FF63BE7B"/>
      </colorScale>
    </cfRule>
  </conditionalFormatting>
  <conditionalFormatting pivot="1" sqref="H23:H36">
    <cfRule type="colorScale" priority="16">
      <colorScale>
        <cfvo type="min"/>
        <cfvo type="max"/>
        <color rgb="FFFFEF9C"/>
        <color rgb="FF63BE7B"/>
      </colorScale>
    </cfRule>
  </conditionalFormatting>
  <conditionalFormatting pivot="1" sqref="J23:J36">
    <cfRule type="colorScale" priority="15">
      <colorScale>
        <cfvo type="min"/>
        <cfvo type="max"/>
        <color rgb="FFFFEF9C"/>
        <color rgb="FF63BE7B"/>
      </colorScale>
    </cfRule>
  </conditionalFormatting>
  <conditionalFormatting pivot="1" sqref="L23:L36">
    <cfRule type="colorScale" priority="14">
      <colorScale>
        <cfvo type="min"/>
        <cfvo type="max"/>
        <color rgb="FFFFEF9C"/>
        <color rgb="FF63BE7B"/>
      </colorScale>
    </cfRule>
  </conditionalFormatting>
  <conditionalFormatting pivot="1" sqref="N23:N36">
    <cfRule type="colorScale" priority="13">
      <colorScale>
        <cfvo type="min"/>
        <cfvo type="max"/>
        <color rgb="FFFFEF9C"/>
        <color rgb="FF63BE7B"/>
      </colorScale>
    </cfRule>
  </conditionalFormatting>
  <conditionalFormatting pivot="1" sqref="C23:C36">
    <cfRule type="colorScale" priority="12">
      <colorScale>
        <cfvo type="min"/>
        <cfvo type="max"/>
        <color rgb="FFFFEF9C"/>
        <color rgb="FF63BE7B"/>
      </colorScale>
    </cfRule>
  </conditionalFormatting>
  <conditionalFormatting pivot="1" sqref="E23:E36">
    <cfRule type="colorScale" priority="11">
      <colorScale>
        <cfvo type="min"/>
        <cfvo type="max"/>
        <color rgb="FFFFEF9C"/>
        <color rgb="FF63BE7B"/>
      </colorScale>
    </cfRule>
  </conditionalFormatting>
  <conditionalFormatting pivot="1" sqref="G23:G36">
    <cfRule type="colorScale" priority="10">
      <colorScale>
        <cfvo type="min"/>
        <cfvo type="max"/>
        <color rgb="FFFFEF9C"/>
        <color rgb="FF63BE7B"/>
      </colorScale>
    </cfRule>
  </conditionalFormatting>
  <conditionalFormatting pivot="1" sqref="I23:I36">
    <cfRule type="colorScale" priority="9">
      <colorScale>
        <cfvo type="min"/>
        <cfvo type="max"/>
        <color rgb="FFFFEF9C"/>
        <color rgb="FF63BE7B"/>
      </colorScale>
    </cfRule>
  </conditionalFormatting>
  <conditionalFormatting pivot="1" sqref="K23:K36">
    <cfRule type="colorScale" priority="8">
      <colorScale>
        <cfvo type="min"/>
        <cfvo type="max"/>
        <color rgb="FFFFEF9C"/>
        <color rgb="FF63BE7B"/>
      </colorScale>
    </cfRule>
  </conditionalFormatting>
  <conditionalFormatting pivot="1" sqref="M23:M36">
    <cfRule type="colorScale" priority="7">
      <colorScale>
        <cfvo type="min"/>
        <cfvo type="max"/>
        <color rgb="FFFFEF9C"/>
        <color rgb="FF63BE7B"/>
      </colorScale>
    </cfRule>
  </conditionalFormatting>
  <conditionalFormatting pivot="1" sqref="U21:U34">
    <cfRule type="colorScale" priority="5">
      <colorScale>
        <cfvo type="min"/>
        <cfvo type="max"/>
        <color rgb="FFFFEF9C"/>
        <color rgb="FF63BE7B"/>
      </colorScale>
    </cfRule>
  </conditionalFormatting>
  <conditionalFormatting pivot="1" sqref="T21:T34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S21:S34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R21:R34">
    <cfRule type="colorScale" priority="2">
      <colorScale>
        <cfvo type="min"/>
        <cfvo type="max"/>
        <color rgb="FF63BE7B"/>
        <color rgb="FFFFEF9C"/>
      </colorScale>
    </cfRule>
  </conditionalFormatting>
  <conditionalFormatting pivot="1" sqref="Q21:Q34">
    <cfRule type="colorScale" priority="1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B047-6849-4DBB-9EE6-1EE85489F201}">
  <dimension ref="A1:K301"/>
  <sheetViews>
    <sheetView showGridLines="0" topLeftCell="A2" workbookViewId="0">
      <selection activeCell="A2" sqref="A2:K301"/>
    </sheetView>
  </sheetViews>
  <sheetFormatPr defaultRowHeight="15" x14ac:dyDescent="0.25"/>
  <cols>
    <col min="1" max="1" width="11.85546875" bestFit="1" customWidth="1"/>
    <col min="2" max="2" width="10.7109375" style="17" bestFit="1" customWidth="1"/>
    <col min="3" max="3" width="15.140625" style="18" bestFit="1" customWidth="1"/>
    <col min="4" max="4" width="13.5703125" style="18" bestFit="1" customWidth="1"/>
    <col min="5" max="5" width="13.140625" style="18" bestFit="1" customWidth="1"/>
    <col min="6" max="6" width="18.5703125" style="18" bestFit="1" customWidth="1"/>
    <col min="7" max="7" width="13.7109375" bestFit="1" customWidth="1"/>
    <col min="8" max="9" width="16.7109375" bestFit="1" customWidth="1"/>
    <col min="10" max="10" width="9" bestFit="1" customWidth="1"/>
    <col min="11" max="11" width="9.85546875" bestFit="1" customWidth="1"/>
  </cols>
  <sheetData>
    <row r="1" spans="1:11" x14ac:dyDescent="0.25">
      <c r="A1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90</v>
      </c>
      <c r="B2" s="17">
        <v>45872</v>
      </c>
      <c r="C2" s="18" t="s">
        <v>11</v>
      </c>
      <c r="D2" s="18" t="s">
        <v>12</v>
      </c>
      <c r="E2" s="18" t="s">
        <v>13</v>
      </c>
      <c r="F2" s="18" t="s">
        <v>14</v>
      </c>
      <c r="G2">
        <v>8</v>
      </c>
      <c r="H2">
        <v>986.31200000000001</v>
      </c>
      <c r="I2">
        <v>506.10399999999998</v>
      </c>
      <c r="J2">
        <v>3841.6640000000002</v>
      </c>
      <c r="K2">
        <v>7890.4960000000001</v>
      </c>
    </row>
    <row r="3" spans="1:11" x14ac:dyDescent="0.25">
      <c r="A3">
        <v>144</v>
      </c>
      <c r="B3" s="17">
        <v>45667</v>
      </c>
      <c r="C3" s="18" t="s">
        <v>15</v>
      </c>
      <c r="D3" s="18" t="s">
        <v>16</v>
      </c>
      <c r="E3" s="18" t="s">
        <v>17</v>
      </c>
      <c r="F3" s="18" t="s">
        <v>18</v>
      </c>
      <c r="G3">
        <v>2</v>
      </c>
      <c r="H3">
        <v>970.78200000000004</v>
      </c>
      <c r="I3">
        <v>491.21199999999999</v>
      </c>
      <c r="J3">
        <v>959.14</v>
      </c>
      <c r="K3">
        <v>1941.5640000000001</v>
      </c>
    </row>
    <row r="4" spans="1:11" x14ac:dyDescent="0.25">
      <c r="A4">
        <v>29</v>
      </c>
      <c r="B4" s="17">
        <v>45692</v>
      </c>
      <c r="C4" s="18" t="s">
        <v>19</v>
      </c>
      <c r="D4" s="18" t="s">
        <v>20</v>
      </c>
      <c r="E4" s="18" t="s">
        <v>21</v>
      </c>
      <c r="F4" s="18" t="s">
        <v>22</v>
      </c>
      <c r="G4">
        <v>3</v>
      </c>
      <c r="H4">
        <v>993.80799999999999</v>
      </c>
      <c r="I4">
        <v>534.51</v>
      </c>
      <c r="J4">
        <v>1377.894</v>
      </c>
      <c r="K4">
        <v>2981.424</v>
      </c>
    </row>
    <row r="5" spans="1:11" x14ac:dyDescent="0.25">
      <c r="A5">
        <v>81</v>
      </c>
      <c r="B5" s="17">
        <v>45880</v>
      </c>
      <c r="C5" s="18" t="s">
        <v>23</v>
      </c>
      <c r="D5" s="18" t="s">
        <v>12</v>
      </c>
      <c r="E5" s="18" t="s">
        <v>24</v>
      </c>
      <c r="F5" s="18" t="s">
        <v>25</v>
      </c>
      <c r="G5">
        <v>1</v>
      </c>
      <c r="H5">
        <v>943.01199999999994</v>
      </c>
      <c r="I5">
        <v>488.048</v>
      </c>
      <c r="J5">
        <v>454.964</v>
      </c>
      <c r="K5">
        <v>943.01199999999994</v>
      </c>
    </row>
    <row r="6" spans="1:11" x14ac:dyDescent="0.25">
      <c r="A6">
        <v>225</v>
      </c>
      <c r="B6" s="17">
        <v>45897</v>
      </c>
      <c r="C6" s="18" t="s">
        <v>26</v>
      </c>
      <c r="D6" s="18" t="s">
        <v>27</v>
      </c>
      <c r="E6" s="18" t="s">
        <v>21</v>
      </c>
      <c r="F6" s="18" t="s">
        <v>22</v>
      </c>
      <c r="G6">
        <v>5</v>
      </c>
      <c r="H6">
        <v>893.68200000000002</v>
      </c>
      <c r="I6">
        <v>448.75400000000002</v>
      </c>
      <c r="J6">
        <v>2224.64</v>
      </c>
      <c r="K6">
        <v>4468.41</v>
      </c>
    </row>
    <row r="7" spans="1:11" x14ac:dyDescent="0.25">
      <c r="A7">
        <v>274</v>
      </c>
      <c r="B7" s="17">
        <v>45989</v>
      </c>
      <c r="C7" s="18" t="s">
        <v>28</v>
      </c>
      <c r="D7" s="18" t="s">
        <v>29</v>
      </c>
      <c r="E7" s="18" t="s">
        <v>13</v>
      </c>
      <c r="F7" s="18" t="s">
        <v>30</v>
      </c>
      <c r="G7">
        <v>1</v>
      </c>
      <c r="H7">
        <v>886.46799999999996</v>
      </c>
      <c r="I7">
        <v>445.56200000000001</v>
      </c>
      <c r="J7">
        <v>440.90600000000001</v>
      </c>
      <c r="K7">
        <v>886.46799999999996</v>
      </c>
    </row>
    <row r="8" spans="1:11" x14ac:dyDescent="0.25">
      <c r="A8">
        <v>138</v>
      </c>
      <c r="B8" s="17">
        <v>45630</v>
      </c>
      <c r="C8" s="18" t="s">
        <v>26</v>
      </c>
      <c r="D8" s="18" t="s">
        <v>29</v>
      </c>
      <c r="E8" s="18" t="s">
        <v>13</v>
      </c>
      <c r="F8" s="18" t="s">
        <v>22</v>
      </c>
      <c r="G8">
        <v>4</v>
      </c>
      <c r="H8">
        <v>983.64599999999996</v>
      </c>
      <c r="I8">
        <v>545.77800000000002</v>
      </c>
      <c r="J8">
        <v>1751.472</v>
      </c>
      <c r="K8">
        <v>3934.5839999999998</v>
      </c>
    </row>
    <row r="9" spans="1:11" x14ac:dyDescent="0.25">
      <c r="A9">
        <v>1</v>
      </c>
      <c r="B9" s="17">
        <v>45938</v>
      </c>
      <c r="C9" s="18" t="s">
        <v>31</v>
      </c>
      <c r="D9" s="18" t="s">
        <v>16</v>
      </c>
      <c r="E9" s="18" t="s">
        <v>24</v>
      </c>
      <c r="F9" s="18" t="s">
        <v>32</v>
      </c>
      <c r="G9">
        <v>2</v>
      </c>
      <c r="H9">
        <v>874.12800000000004</v>
      </c>
      <c r="I9">
        <v>438.49</v>
      </c>
      <c r="J9">
        <v>871.27599999999995</v>
      </c>
      <c r="K9">
        <v>1748.2560000000001</v>
      </c>
    </row>
    <row r="10" spans="1:11" x14ac:dyDescent="0.25">
      <c r="A10">
        <v>95</v>
      </c>
      <c r="B10" s="17">
        <v>45848</v>
      </c>
      <c r="C10" s="18" t="s">
        <v>23</v>
      </c>
      <c r="D10" s="18" t="s">
        <v>12</v>
      </c>
      <c r="E10" s="18" t="s">
        <v>13</v>
      </c>
      <c r="F10" s="18" t="s">
        <v>33</v>
      </c>
      <c r="G10">
        <v>3</v>
      </c>
      <c r="H10">
        <v>966.04</v>
      </c>
      <c r="I10">
        <v>535.50199999999995</v>
      </c>
      <c r="J10">
        <v>1291.614</v>
      </c>
      <c r="K10">
        <v>2898.12</v>
      </c>
    </row>
    <row r="11" spans="1:11" x14ac:dyDescent="0.25">
      <c r="A11">
        <v>36</v>
      </c>
      <c r="B11" s="17">
        <v>45882</v>
      </c>
      <c r="C11" s="18" t="s">
        <v>34</v>
      </c>
      <c r="D11" s="18" t="s">
        <v>20</v>
      </c>
      <c r="E11" s="18" t="s">
        <v>24</v>
      </c>
      <c r="F11" s="18" t="s">
        <v>18</v>
      </c>
      <c r="G11">
        <v>9</v>
      </c>
      <c r="H11">
        <v>921.48199999999997</v>
      </c>
      <c r="I11">
        <v>491.08800000000002</v>
      </c>
      <c r="J11">
        <v>3873.5459999999998</v>
      </c>
      <c r="K11">
        <v>8293.3379999999997</v>
      </c>
    </row>
    <row r="12" spans="1:11" x14ac:dyDescent="0.25">
      <c r="A12">
        <v>83</v>
      </c>
      <c r="B12" s="17">
        <v>45855</v>
      </c>
      <c r="C12" s="18" t="s">
        <v>35</v>
      </c>
      <c r="D12" s="18" t="s">
        <v>29</v>
      </c>
      <c r="E12" s="18" t="s">
        <v>36</v>
      </c>
      <c r="F12" s="18" t="s">
        <v>14</v>
      </c>
      <c r="G12">
        <v>8</v>
      </c>
      <c r="H12">
        <v>907.68200000000002</v>
      </c>
      <c r="I12">
        <v>483.76400000000001</v>
      </c>
      <c r="J12">
        <v>3391.3440000000001</v>
      </c>
      <c r="K12">
        <v>7261.4560000000001</v>
      </c>
    </row>
    <row r="13" spans="1:11" x14ac:dyDescent="0.25">
      <c r="A13">
        <v>38</v>
      </c>
      <c r="B13" s="17">
        <v>45826</v>
      </c>
      <c r="C13" s="18" t="s">
        <v>11</v>
      </c>
      <c r="D13" s="18" t="s">
        <v>27</v>
      </c>
      <c r="E13" s="18" t="s">
        <v>36</v>
      </c>
      <c r="F13" s="18" t="s">
        <v>18</v>
      </c>
      <c r="G13">
        <v>8</v>
      </c>
      <c r="H13">
        <v>946.87599999999998</v>
      </c>
      <c r="I13">
        <v>527.404</v>
      </c>
      <c r="J13">
        <v>3355.7759999999998</v>
      </c>
      <c r="K13">
        <v>7575.0079999999998</v>
      </c>
    </row>
    <row r="14" spans="1:11" x14ac:dyDescent="0.25">
      <c r="A14">
        <v>125</v>
      </c>
      <c r="B14" s="17">
        <v>45889</v>
      </c>
      <c r="C14" s="18" t="s">
        <v>35</v>
      </c>
      <c r="D14" s="18" t="s">
        <v>20</v>
      </c>
      <c r="E14" s="18" t="s">
        <v>24</v>
      </c>
      <c r="F14" s="18" t="s">
        <v>14</v>
      </c>
      <c r="G14">
        <v>6</v>
      </c>
      <c r="H14">
        <v>980.68399999999997</v>
      </c>
      <c r="I14">
        <v>570.96199999999999</v>
      </c>
      <c r="J14">
        <v>2458.3319999999999</v>
      </c>
      <c r="K14">
        <v>5884.1040000000003</v>
      </c>
    </row>
    <row r="15" spans="1:11" x14ac:dyDescent="0.25">
      <c r="A15">
        <v>293</v>
      </c>
      <c r="B15" s="17">
        <v>45679</v>
      </c>
      <c r="C15" s="18" t="s">
        <v>23</v>
      </c>
      <c r="D15" s="18" t="s">
        <v>12</v>
      </c>
      <c r="E15" s="18" t="s">
        <v>13</v>
      </c>
      <c r="F15" s="18" t="s">
        <v>30</v>
      </c>
      <c r="G15">
        <v>9</v>
      </c>
      <c r="H15">
        <v>937.94799999999998</v>
      </c>
      <c r="I15">
        <v>529.596</v>
      </c>
      <c r="J15">
        <v>3675.1680000000001</v>
      </c>
      <c r="K15">
        <v>8441.5319999999992</v>
      </c>
    </row>
    <row r="16" spans="1:11" x14ac:dyDescent="0.25">
      <c r="A16">
        <v>31</v>
      </c>
      <c r="B16" s="17">
        <v>45920</v>
      </c>
      <c r="C16" s="18" t="s">
        <v>11</v>
      </c>
      <c r="D16" s="18" t="s">
        <v>12</v>
      </c>
      <c r="E16" s="18" t="s">
        <v>24</v>
      </c>
      <c r="F16" s="18" t="s">
        <v>25</v>
      </c>
      <c r="G16">
        <v>4</v>
      </c>
      <c r="H16">
        <v>869.27800000000002</v>
      </c>
      <c r="I16">
        <v>463.26600000000002</v>
      </c>
      <c r="J16">
        <v>1624.048</v>
      </c>
      <c r="K16">
        <v>3477.1120000000001</v>
      </c>
    </row>
    <row r="17" spans="1:11" x14ac:dyDescent="0.25">
      <c r="A17">
        <v>248</v>
      </c>
      <c r="B17" s="17">
        <v>45706</v>
      </c>
      <c r="C17" s="18" t="s">
        <v>23</v>
      </c>
      <c r="D17" s="18" t="s">
        <v>16</v>
      </c>
      <c r="E17" s="18" t="s">
        <v>24</v>
      </c>
      <c r="F17" s="18" t="s">
        <v>37</v>
      </c>
      <c r="G17">
        <v>9</v>
      </c>
      <c r="H17">
        <v>826.25</v>
      </c>
      <c r="I17">
        <v>421.29599999999999</v>
      </c>
      <c r="J17">
        <v>3644.5859999999998</v>
      </c>
      <c r="K17">
        <v>7436.25</v>
      </c>
    </row>
    <row r="18" spans="1:11" x14ac:dyDescent="0.25">
      <c r="A18">
        <v>112</v>
      </c>
      <c r="B18" s="17">
        <v>45714</v>
      </c>
      <c r="C18" s="18" t="s">
        <v>15</v>
      </c>
      <c r="D18" s="18" t="s">
        <v>16</v>
      </c>
      <c r="E18" s="18" t="s">
        <v>24</v>
      </c>
      <c r="F18" s="18" t="s">
        <v>18</v>
      </c>
      <c r="G18">
        <v>10</v>
      </c>
      <c r="H18">
        <v>943.66800000000001</v>
      </c>
      <c r="I18">
        <v>547.16399999999999</v>
      </c>
      <c r="J18">
        <v>3965.04</v>
      </c>
      <c r="K18">
        <v>9436.68</v>
      </c>
    </row>
    <row r="19" spans="1:11" x14ac:dyDescent="0.25">
      <c r="A19">
        <v>257</v>
      </c>
      <c r="B19" s="17">
        <v>45837</v>
      </c>
      <c r="C19" s="18" t="s">
        <v>34</v>
      </c>
      <c r="D19" s="18" t="s">
        <v>29</v>
      </c>
      <c r="E19" s="18" t="s">
        <v>36</v>
      </c>
      <c r="F19" s="18" t="s">
        <v>33</v>
      </c>
      <c r="G19">
        <v>10</v>
      </c>
      <c r="H19">
        <v>773.24199999999996</v>
      </c>
      <c r="I19">
        <v>387.858</v>
      </c>
      <c r="J19">
        <v>3853.84</v>
      </c>
      <c r="K19">
        <v>7732.42</v>
      </c>
    </row>
    <row r="20" spans="1:11" x14ac:dyDescent="0.25">
      <c r="A20">
        <v>187</v>
      </c>
      <c r="B20" s="17">
        <v>45836</v>
      </c>
      <c r="C20" s="18" t="s">
        <v>11</v>
      </c>
      <c r="D20" s="18" t="s">
        <v>16</v>
      </c>
      <c r="E20" s="18" t="s">
        <v>36</v>
      </c>
      <c r="F20" s="18" t="s">
        <v>38</v>
      </c>
      <c r="G20">
        <v>6</v>
      </c>
      <c r="H20">
        <v>919.64599999999996</v>
      </c>
      <c r="I20">
        <v>539.37</v>
      </c>
      <c r="J20">
        <v>2281.6559999999999</v>
      </c>
      <c r="K20">
        <v>5517.8760000000002</v>
      </c>
    </row>
    <row r="21" spans="1:11" x14ac:dyDescent="0.25">
      <c r="A21">
        <v>217</v>
      </c>
      <c r="B21" s="17">
        <v>45659</v>
      </c>
      <c r="C21" s="18" t="s">
        <v>39</v>
      </c>
      <c r="D21" s="18" t="s">
        <v>20</v>
      </c>
      <c r="E21" s="18" t="s">
        <v>13</v>
      </c>
      <c r="F21" s="18" t="s">
        <v>38</v>
      </c>
      <c r="G21">
        <v>8</v>
      </c>
      <c r="H21">
        <v>768.53800000000001</v>
      </c>
      <c r="I21">
        <v>398.964</v>
      </c>
      <c r="J21">
        <v>2956.5920000000001</v>
      </c>
      <c r="K21">
        <v>6148.3040000000001</v>
      </c>
    </row>
    <row r="22" spans="1:11" x14ac:dyDescent="0.25">
      <c r="A22">
        <v>124</v>
      </c>
      <c r="B22" s="17">
        <v>45805</v>
      </c>
      <c r="C22" s="18" t="s">
        <v>35</v>
      </c>
      <c r="D22" s="18" t="s">
        <v>20</v>
      </c>
      <c r="E22" s="18" t="s">
        <v>17</v>
      </c>
      <c r="F22" s="18" t="s">
        <v>37</v>
      </c>
      <c r="G22">
        <v>8</v>
      </c>
      <c r="H22">
        <v>757.36400000000003</v>
      </c>
      <c r="I22">
        <v>388.93400000000003</v>
      </c>
      <c r="J22">
        <v>2947.44</v>
      </c>
      <c r="K22">
        <v>6058.9120000000003</v>
      </c>
    </row>
    <row r="23" spans="1:11" x14ac:dyDescent="0.25">
      <c r="A23">
        <v>53</v>
      </c>
      <c r="B23" s="17">
        <v>45747</v>
      </c>
      <c r="C23" s="18" t="s">
        <v>34</v>
      </c>
      <c r="D23" s="18" t="s">
        <v>16</v>
      </c>
      <c r="E23" s="18" t="s">
        <v>36</v>
      </c>
      <c r="F23" s="18" t="s">
        <v>38</v>
      </c>
      <c r="G23">
        <v>8</v>
      </c>
      <c r="H23">
        <v>790.31</v>
      </c>
      <c r="I23">
        <v>422.38200000000001</v>
      </c>
      <c r="J23">
        <v>2943.424</v>
      </c>
      <c r="K23">
        <v>6322.48</v>
      </c>
    </row>
    <row r="24" spans="1:11" x14ac:dyDescent="0.25">
      <c r="A24">
        <v>286</v>
      </c>
      <c r="B24" s="17">
        <v>45913</v>
      </c>
      <c r="C24" s="18" t="s">
        <v>28</v>
      </c>
      <c r="D24" s="18" t="s">
        <v>12</v>
      </c>
      <c r="E24" s="18" t="s">
        <v>13</v>
      </c>
      <c r="F24" s="18" t="s">
        <v>32</v>
      </c>
      <c r="G24">
        <v>10</v>
      </c>
      <c r="H24">
        <v>755.1</v>
      </c>
      <c r="I24">
        <v>389.928</v>
      </c>
      <c r="J24">
        <v>3651.72</v>
      </c>
      <c r="K24">
        <v>7551</v>
      </c>
    </row>
    <row r="25" spans="1:11" x14ac:dyDescent="0.25">
      <c r="A25">
        <v>56</v>
      </c>
      <c r="B25" s="17">
        <v>45725</v>
      </c>
      <c r="C25" s="18" t="s">
        <v>31</v>
      </c>
      <c r="D25" s="18" t="s">
        <v>20</v>
      </c>
      <c r="E25" s="18" t="s">
        <v>24</v>
      </c>
      <c r="F25" s="18" t="s">
        <v>32</v>
      </c>
      <c r="G25">
        <v>9</v>
      </c>
      <c r="H25">
        <v>946.95</v>
      </c>
      <c r="I25">
        <v>583.36</v>
      </c>
      <c r="J25">
        <v>3272.31</v>
      </c>
      <c r="K25">
        <v>8522.5499999999993</v>
      </c>
    </row>
    <row r="26" spans="1:11" x14ac:dyDescent="0.25">
      <c r="A26">
        <v>212</v>
      </c>
      <c r="B26" s="17">
        <v>45763</v>
      </c>
      <c r="C26" s="18" t="s">
        <v>35</v>
      </c>
      <c r="D26" s="18" t="s">
        <v>12</v>
      </c>
      <c r="E26" s="18" t="s">
        <v>13</v>
      </c>
      <c r="F26" s="18" t="s">
        <v>37</v>
      </c>
      <c r="G26">
        <v>7</v>
      </c>
      <c r="H26">
        <v>982.04</v>
      </c>
      <c r="I26">
        <v>624.39400000000001</v>
      </c>
      <c r="J26">
        <v>2503.5219999999999</v>
      </c>
      <c r="K26">
        <v>6874.28</v>
      </c>
    </row>
    <row r="27" spans="1:11" x14ac:dyDescent="0.25">
      <c r="A27">
        <v>84</v>
      </c>
      <c r="B27" s="17">
        <v>45766</v>
      </c>
      <c r="C27" s="18" t="s">
        <v>15</v>
      </c>
      <c r="D27" s="18" t="s">
        <v>27</v>
      </c>
      <c r="E27" s="18" t="s">
        <v>24</v>
      </c>
      <c r="F27" s="18" t="s">
        <v>14</v>
      </c>
      <c r="G27">
        <v>7</v>
      </c>
      <c r="H27">
        <v>736.35400000000004</v>
      </c>
      <c r="I27">
        <v>386.34399999999999</v>
      </c>
      <c r="J27">
        <v>2450.0700000000002</v>
      </c>
      <c r="K27">
        <v>5154.4780000000001</v>
      </c>
    </row>
    <row r="28" spans="1:11" x14ac:dyDescent="0.25">
      <c r="A28">
        <v>162</v>
      </c>
      <c r="B28" s="17">
        <v>45963</v>
      </c>
      <c r="C28" s="18" t="s">
        <v>39</v>
      </c>
      <c r="D28" s="18" t="s">
        <v>12</v>
      </c>
      <c r="E28" s="18" t="s">
        <v>24</v>
      </c>
      <c r="F28" s="18" t="s">
        <v>37</v>
      </c>
      <c r="G28">
        <v>4</v>
      </c>
      <c r="H28">
        <v>946.524</v>
      </c>
      <c r="I28">
        <v>608.73199999999997</v>
      </c>
      <c r="J28">
        <v>1351.1679999999999</v>
      </c>
      <c r="K28">
        <v>3786.096</v>
      </c>
    </row>
    <row r="29" spans="1:11" x14ac:dyDescent="0.25">
      <c r="A29">
        <v>126</v>
      </c>
      <c r="B29" s="17">
        <v>45929</v>
      </c>
      <c r="C29" s="18" t="s">
        <v>40</v>
      </c>
      <c r="D29" s="18" t="s">
        <v>29</v>
      </c>
      <c r="E29" s="18" t="s">
        <v>21</v>
      </c>
      <c r="F29" s="18" t="s">
        <v>38</v>
      </c>
      <c r="G29">
        <v>1</v>
      </c>
      <c r="H29">
        <v>706.54</v>
      </c>
      <c r="I29">
        <v>380.25400000000002</v>
      </c>
      <c r="J29">
        <v>326.286</v>
      </c>
      <c r="K29">
        <v>706.54</v>
      </c>
    </row>
    <row r="30" spans="1:11" x14ac:dyDescent="0.25">
      <c r="A30">
        <v>60</v>
      </c>
      <c r="B30" s="17">
        <v>45749</v>
      </c>
      <c r="C30" s="18" t="s">
        <v>41</v>
      </c>
      <c r="D30" s="18" t="s">
        <v>16</v>
      </c>
      <c r="E30" s="18" t="s">
        <v>24</v>
      </c>
      <c r="F30" s="18" t="s">
        <v>38</v>
      </c>
      <c r="G30">
        <v>5</v>
      </c>
      <c r="H30">
        <v>891.71600000000001</v>
      </c>
      <c r="I30">
        <v>567.18200000000002</v>
      </c>
      <c r="J30">
        <v>1622.67</v>
      </c>
      <c r="K30">
        <v>4458.58</v>
      </c>
    </row>
    <row r="31" spans="1:11" x14ac:dyDescent="0.25">
      <c r="A31">
        <v>273</v>
      </c>
      <c r="B31" s="17">
        <v>45663</v>
      </c>
      <c r="C31" s="18" t="s">
        <v>42</v>
      </c>
      <c r="D31" s="18" t="s">
        <v>12</v>
      </c>
      <c r="E31" s="18" t="s">
        <v>17</v>
      </c>
      <c r="F31" s="18" t="s">
        <v>25</v>
      </c>
      <c r="G31">
        <v>2</v>
      </c>
      <c r="H31">
        <v>698.44799999999998</v>
      </c>
      <c r="I31">
        <v>375.69600000000003</v>
      </c>
      <c r="J31">
        <v>645.50400000000002</v>
      </c>
      <c r="K31">
        <v>1396.896</v>
      </c>
    </row>
    <row r="32" spans="1:11" x14ac:dyDescent="0.25">
      <c r="A32">
        <v>128</v>
      </c>
      <c r="B32" s="17">
        <v>45653</v>
      </c>
      <c r="C32" s="18" t="s">
        <v>15</v>
      </c>
      <c r="D32" s="18" t="s">
        <v>29</v>
      </c>
      <c r="E32" s="18" t="s">
        <v>21</v>
      </c>
      <c r="F32" s="18" t="s">
        <v>30</v>
      </c>
      <c r="G32">
        <v>9</v>
      </c>
      <c r="H32">
        <v>729.57799999999997</v>
      </c>
      <c r="I32">
        <v>407.14600000000002</v>
      </c>
      <c r="J32">
        <v>2901.8879999999999</v>
      </c>
      <c r="K32">
        <v>6566.2020000000002</v>
      </c>
    </row>
    <row r="33" spans="1:11" x14ac:dyDescent="0.25">
      <c r="A33">
        <v>98</v>
      </c>
      <c r="B33" s="17">
        <v>45815</v>
      </c>
      <c r="C33" s="18" t="s">
        <v>28</v>
      </c>
      <c r="D33" s="18" t="s">
        <v>20</v>
      </c>
      <c r="E33" s="18" t="s">
        <v>13</v>
      </c>
      <c r="F33" s="18" t="s">
        <v>32</v>
      </c>
      <c r="G33">
        <v>9</v>
      </c>
      <c r="H33">
        <v>855.202</v>
      </c>
      <c r="I33">
        <v>536.26199999999994</v>
      </c>
      <c r="J33">
        <v>2870.46</v>
      </c>
      <c r="K33">
        <v>7696.8180000000002</v>
      </c>
    </row>
    <row r="34" spans="1:11" x14ac:dyDescent="0.25">
      <c r="A34">
        <v>49</v>
      </c>
      <c r="B34" s="17">
        <v>45760</v>
      </c>
      <c r="C34" s="18" t="s">
        <v>35</v>
      </c>
      <c r="D34" s="18" t="s">
        <v>12</v>
      </c>
      <c r="E34" s="18" t="s">
        <v>36</v>
      </c>
      <c r="F34" s="18" t="s">
        <v>25</v>
      </c>
      <c r="G34">
        <v>5</v>
      </c>
      <c r="H34">
        <v>734.20399999999995</v>
      </c>
      <c r="I34">
        <v>415.524</v>
      </c>
      <c r="J34">
        <v>1593.4</v>
      </c>
      <c r="K34">
        <v>3671.02</v>
      </c>
    </row>
    <row r="35" spans="1:11" x14ac:dyDescent="0.25">
      <c r="A35">
        <v>166</v>
      </c>
      <c r="B35" s="17">
        <v>45811</v>
      </c>
      <c r="C35" s="18" t="s">
        <v>39</v>
      </c>
      <c r="D35" s="18" t="s">
        <v>16</v>
      </c>
      <c r="E35" s="18" t="s">
        <v>21</v>
      </c>
      <c r="F35" s="18" t="s">
        <v>30</v>
      </c>
      <c r="G35">
        <v>10</v>
      </c>
      <c r="H35">
        <v>634.22</v>
      </c>
      <c r="I35">
        <v>317.85000000000002</v>
      </c>
      <c r="J35">
        <v>3163.7</v>
      </c>
      <c r="K35">
        <v>6342.2</v>
      </c>
    </row>
    <row r="36" spans="1:11" x14ac:dyDescent="0.25">
      <c r="A36">
        <v>52</v>
      </c>
      <c r="B36" s="17">
        <v>45713</v>
      </c>
      <c r="C36" s="18" t="s">
        <v>11</v>
      </c>
      <c r="D36" s="18" t="s">
        <v>29</v>
      </c>
      <c r="E36" s="18" t="s">
        <v>21</v>
      </c>
      <c r="F36" s="18" t="s">
        <v>38</v>
      </c>
      <c r="G36">
        <v>5</v>
      </c>
      <c r="H36">
        <v>678.87199999999996</v>
      </c>
      <c r="I36">
        <v>363.28800000000001</v>
      </c>
      <c r="J36">
        <v>1577.92</v>
      </c>
      <c r="K36">
        <v>3394.36</v>
      </c>
    </row>
    <row r="37" spans="1:11" x14ac:dyDescent="0.25">
      <c r="A37">
        <v>227</v>
      </c>
      <c r="B37" s="17">
        <v>45910</v>
      </c>
      <c r="C37" s="18" t="s">
        <v>34</v>
      </c>
      <c r="D37" s="18" t="s">
        <v>20</v>
      </c>
      <c r="E37" s="18" t="s">
        <v>21</v>
      </c>
      <c r="F37" s="18" t="s">
        <v>14</v>
      </c>
      <c r="G37">
        <v>5</v>
      </c>
      <c r="H37">
        <v>844.28200000000004</v>
      </c>
      <c r="I37">
        <v>529.35</v>
      </c>
      <c r="J37">
        <v>1574.66</v>
      </c>
      <c r="K37">
        <v>4221.41</v>
      </c>
    </row>
    <row r="38" spans="1:11" x14ac:dyDescent="0.25">
      <c r="A38">
        <v>259</v>
      </c>
      <c r="B38" s="17">
        <v>45726</v>
      </c>
      <c r="C38" s="18" t="s">
        <v>34</v>
      </c>
      <c r="D38" s="18" t="s">
        <v>12</v>
      </c>
      <c r="E38" s="18" t="s">
        <v>24</v>
      </c>
      <c r="F38" s="18" t="s">
        <v>37</v>
      </c>
      <c r="G38">
        <v>3</v>
      </c>
      <c r="H38">
        <v>661.46600000000001</v>
      </c>
      <c r="I38">
        <v>347.95800000000003</v>
      </c>
      <c r="J38">
        <v>940.524</v>
      </c>
      <c r="K38">
        <v>1984.3979999999999</v>
      </c>
    </row>
    <row r="39" spans="1:11" x14ac:dyDescent="0.25">
      <c r="A39">
        <v>269</v>
      </c>
      <c r="B39" s="17">
        <v>45688</v>
      </c>
      <c r="C39" s="18" t="s">
        <v>23</v>
      </c>
      <c r="D39" s="18" t="s">
        <v>16</v>
      </c>
      <c r="E39" s="18" t="s">
        <v>13</v>
      </c>
      <c r="F39" s="18" t="s">
        <v>38</v>
      </c>
      <c r="G39">
        <v>2</v>
      </c>
      <c r="H39">
        <v>822.00599999999997</v>
      </c>
      <c r="I39">
        <v>508.83600000000001</v>
      </c>
      <c r="J39">
        <v>626.34</v>
      </c>
      <c r="K39">
        <v>1644.0119999999999</v>
      </c>
    </row>
    <row r="40" spans="1:11" x14ac:dyDescent="0.25">
      <c r="A40">
        <v>142</v>
      </c>
      <c r="B40" s="17">
        <v>45778</v>
      </c>
      <c r="C40" s="18" t="s">
        <v>43</v>
      </c>
      <c r="D40" s="18" t="s">
        <v>16</v>
      </c>
      <c r="E40" s="18" t="s">
        <v>17</v>
      </c>
      <c r="F40" s="18" t="s">
        <v>14</v>
      </c>
      <c r="G40">
        <v>9</v>
      </c>
      <c r="H40">
        <v>830.25800000000004</v>
      </c>
      <c r="I40">
        <v>518.21</v>
      </c>
      <c r="J40">
        <v>2808.4319999999998</v>
      </c>
      <c r="K40">
        <v>7472.3220000000001</v>
      </c>
    </row>
    <row r="41" spans="1:11" x14ac:dyDescent="0.25">
      <c r="A41">
        <v>63</v>
      </c>
      <c r="B41" s="17">
        <v>45969</v>
      </c>
      <c r="C41" s="18" t="s">
        <v>15</v>
      </c>
      <c r="D41" s="18" t="s">
        <v>29</v>
      </c>
      <c r="E41" s="18" t="s">
        <v>36</v>
      </c>
      <c r="F41" s="18" t="s">
        <v>37</v>
      </c>
      <c r="G41">
        <v>7</v>
      </c>
      <c r="H41">
        <v>638.61599999999999</v>
      </c>
      <c r="I41">
        <v>327.21800000000002</v>
      </c>
      <c r="J41">
        <v>2179.7860000000001</v>
      </c>
      <c r="K41">
        <v>4470.3119999999999</v>
      </c>
    </row>
    <row r="42" spans="1:11" x14ac:dyDescent="0.25">
      <c r="A42">
        <v>251</v>
      </c>
      <c r="B42" s="17">
        <v>45914</v>
      </c>
      <c r="C42" s="18" t="s">
        <v>41</v>
      </c>
      <c r="D42" s="18" t="s">
        <v>16</v>
      </c>
      <c r="E42" s="18" t="s">
        <v>21</v>
      </c>
      <c r="F42" s="18" t="s">
        <v>25</v>
      </c>
      <c r="G42">
        <v>2</v>
      </c>
      <c r="H42">
        <v>713.79399999999998</v>
      </c>
      <c r="I42">
        <v>404.04</v>
      </c>
      <c r="J42">
        <v>619.50800000000004</v>
      </c>
      <c r="K42">
        <v>1427.588</v>
      </c>
    </row>
    <row r="43" spans="1:11" x14ac:dyDescent="0.25">
      <c r="A43">
        <v>266</v>
      </c>
      <c r="B43" s="17">
        <v>45904</v>
      </c>
      <c r="C43" s="18" t="s">
        <v>28</v>
      </c>
      <c r="D43" s="18" t="s">
        <v>12</v>
      </c>
      <c r="E43" s="18" t="s">
        <v>17</v>
      </c>
      <c r="F43" s="18" t="s">
        <v>38</v>
      </c>
      <c r="G43">
        <v>6</v>
      </c>
      <c r="H43">
        <v>769.44200000000001</v>
      </c>
      <c r="I43">
        <v>462.03800000000001</v>
      </c>
      <c r="J43">
        <v>1844.424</v>
      </c>
      <c r="K43">
        <v>4616.652</v>
      </c>
    </row>
    <row r="44" spans="1:11" x14ac:dyDescent="0.25">
      <c r="A44">
        <v>94</v>
      </c>
      <c r="B44" s="17">
        <v>45713</v>
      </c>
      <c r="C44" s="18" t="s">
        <v>31</v>
      </c>
      <c r="D44" s="18" t="s">
        <v>27</v>
      </c>
      <c r="E44" s="18" t="s">
        <v>21</v>
      </c>
      <c r="F44" s="18" t="s">
        <v>18</v>
      </c>
      <c r="G44">
        <v>1</v>
      </c>
      <c r="H44">
        <v>978.14800000000002</v>
      </c>
      <c r="I44">
        <v>671.21400000000006</v>
      </c>
      <c r="J44">
        <v>306.93400000000003</v>
      </c>
      <c r="K44">
        <v>978.14800000000002</v>
      </c>
    </row>
    <row r="45" spans="1:11" x14ac:dyDescent="0.25">
      <c r="A45">
        <v>68</v>
      </c>
      <c r="B45" s="17">
        <v>45825</v>
      </c>
      <c r="C45" s="18" t="s">
        <v>23</v>
      </c>
      <c r="D45" s="18" t="s">
        <v>12</v>
      </c>
      <c r="E45" s="18" t="s">
        <v>13</v>
      </c>
      <c r="F45" s="18" t="s">
        <v>32</v>
      </c>
      <c r="G45">
        <v>4</v>
      </c>
      <c r="H45">
        <v>984.46600000000001</v>
      </c>
      <c r="I45">
        <v>679.20600000000002</v>
      </c>
      <c r="J45">
        <v>1221.04</v>
      </c>
      <c r="K45">
        <v>3937.864</v>
      </c>
    </row>
    <row r="46" spans="1:11" x14ac:dyDescent="0.25">
      <c r="A46">
        <v>176</v>
      </c>
      <c r="B46" s="17">
        <v>45890</v>
      </c>
      <c r="C46" s="18" t="s">
        <v>23</v>
      </c>
      <c r="D46" s="18" t="s">
        <v>29</v>
      </c>
      <c r="E46" s="18" t="s">
        <v>24</v>
      </c>
      <c r="F46" s="18" t="s">
        <v>22</v>
      </c>
      <c r="G46">
        <v>4</v>
      </c>
      <c r="H46">
        <v>876.78</v>
      </c>
      <c r="I46">
        <v>573.78599999999994</v>
      </c>
      <c r="J46">
        <v>1211.9760000000001</v>
      </c>
      <c r="K46">
        <v>3507.12</v>
      </c>
    </row>
    <row r="47" spans="1:11" x14ac:dyDescent="0.25">
      <c r="A47">
        <v>59</v>
      </c>
      <c r="B47" s="17">
        <v>45813</v>
      </c>
      <c r="C47" s="18" t="s">
        <v>39</v>
      </c>
      <c r="D47" s="18" t="s">
        <v>16</v>
      </c>
      <c r="E47" s="18" t="s">
        <v>36</v>
      </c>
      <c r="F47" s="18" t="s">
        <v>44</v>
      </c>
      <c r="G47">
        <v>1</v>
      </c>
      <c r="H47">
        <v>888.572</v>
      </c>
      <c r="I47">
        <v>585.82399999999996</v>
      </c>
      <c r="J47">
        <v>302.74799999999999</v>
      </c>
      <c r="K47">
        <v>888.572</v>
      </c>
    </row>
    <row r="48" spans="1:11" x14ac:dyDescent="0.25">
      <c r="A48">
        <v>265</v>
      </c>
      <c r="B48" s="17">
        <v>45743</v>
      </c>
      <c r="C48" s="18" t="s">
        <v>11</v>
      </c>
      <c r="D48" s="18" t="s">
        <v>12</v>
      </c>
      <c r="E48" s="18" t="s">
        <v>13</v>
      </c>
      <c r="F48" s="18" t="s">
        <v>37</v>
      </c>
      <c r="G48">
        <v>6</v>
      </c>
      <c r="H48">
        <v>953.17</v>
      </c>
      <c r="I48">
        <v>650.51400000000001</v>
      </c>
      <c r="J48">
        <v>1815.9359999999999</v>
      </c>
      <c r="K48">
        <v>5719.02</v>
      </c>
    </row>
    <row r="49" spans="1:11" x14ac:dyDescent="0.25">
      <c r="A49">
        <v>197</v>
      </c>
      <c r="B49" s="17">
        <v>45882</v>
      </c>
      <c r="C49" s="18" t="s">
        <v>23</v>
      </c>
      <c r="D49" s="18" t="s">
        <v>20</v>
      </c>
      <c r="E49" s="18" t="s">
        <v>17</v>
      </c>
      <c r="F49" s="18" t="s">
        <v>25</v>
      </c>
      <c r="G49">
        <v>10</v>
      </c>
      <c r="H49">
        <v>776.74199999999996</v>
      </c>
      <c r="I49">
        <v>479.01</v>
      </c>
      <c r="J49">
        <v>2977.32</v>
      </c>
      <c r="K49">
        <v>7767.42</v>
      </c>
    </row>
    <row r="50" spans="1:11" x14ac:dyDescent="0.25">
      <c r="A50">
        <v>280</v>
      </c>
      <c r="B50" s="17">
        <v>45980</v>
      </c>
      <c r="C50" s="18" t="s">
        <v>26</v>
      </c>
      <c r="D50" s="18" t="s">
        <v>20</v>
      </c>
      <c r="E50" s="18" t="s">
        <v>21</v>
      </c>
      <c r="F50" s="18" t="s">
        <v>18</v>
      </c>
      <c r="G50">
        <v>4</v>
      </c>
      <c r="H50">
        <v>866.87599999999998</v>
      </c>
      <c r="I50">
        <v>569.55600000000004</v>
      </c>
      <c r="J50">
        <v>1189.28</v>
      </c>
      <c r="K50">
        <v>3467.5039999999999</v>
      </c>
    </row>
    <row r="51" spans="1:11" x14ac:dyDescent="0.25">
      <c r="A51">
        <v>133</v>
      </c>
      <c r="B51" s="17">
        <v>45780</v>
      </c>
      <c r="C51" s="18" t="s">
        <v>28</v>
      </c>
      <c r="D51" s="18" t="s">
        <v>12</v>
      </c>
      <c r="E51" s="18" t="s">
        <v>36</v>
      </c>
      <c r="F51" s="18" t="s">
        <v>14</v>
      </c>
      <c r="G51">
        <v>10</v>
      </c>
      <c r="H51">
        <v>692.06200000000001</v>
      </c>
      <c r="I51">
        <v>396.1</v>
      </c>
      <c r="J51">
        <v>2959.62</v>
      </c>
      <c r="K51">
        <v>6920.62</v>
      </c>
    </row>
    <row r="52" spans="1:11" x14ac:dyDescent="0.25">
      <c r="A52">
        <v>239</v>
      </c>
      <c r="B52" s="17">
        <v>45809</v>
      </c>
      <c r="C52" s="18" t="s">
        <v>35</v>
      </c>
      <c r="D52" s="18" t="s">
        <v>20</v>
      </c>
      <c r="E52" s="18" t="s">
        <v>17</v>
      </c>
      <c r="F52" s="18" t="s">
        <v>22</v>
      </c>
      <c r="G52">
        <v>5</v>
      </c>
      <c r="H52">
        <v>961.73400000000004</v>
      </c>
      <c r="I52">
        <v>666.18600000000004</v>
      </c>
      <c r="J52">
        <v>1477.74</v>
      </c>
      <c r="K52">
        <v>4808.67</v>
      </c>
    </row>
    <row r="53" spans="1:11" x14ac:dyDescent="0.25">
      <c r="A53">
        <v>275</v>
      </c>
      <c r="B53" s="17">
        <v>45790</v>
      </c>
      <c r="C53" s="18" t="s">
        <v>35</v>
      </c>
      <c r="D53" s="18" t="s">
        <v>20</v>
      </c>
      <c r="E53" s="18" t="s">
        <v>13</v>
      </c>
      <c r="F53" s="18" t="s">
        <v>25</v>
      </c>
      <c r="G53">
        <v>1</v>
      </c>
      <c r="H53">
        <v>603.404</v>
      </c>
      <c r="I53">
        <v>311.34199999999998</v>
      </c>
      <c r="J53">
        <v>292.06200000000001</v>
      </c>
      <c r="K53">
        <v>603.404</v>
      </c>
    </row>
    <row r="54" spans="1:11" x14ac:dyDescent="0.25">
      <c r="A54">
        <v>13</v>
      </c>
      <c r="B54" s="17">
        <v>45830</v>
      </c>
      <c r="C54" s="18" t="s">
        <v>42</v>
      </c>
      <c r="D54" s="18" t="s">
        <v>12</v>
      </c>
      <c r="E54" s="18" t="s">
        <v>21</v>
      </c>
      <c r="F54" s="18" t="s">
        <v>25</v>
      </c>
      <c r="G54">
        <v>5</v>
      </c>
      <c r="H54">
        <v>584.56200000000001</v>
      </c>
      <c r="I54">
        <v>292.99599999999998</v>
      </c>
      <c r="J54">
        <v>1457.83</v>
      </c>
      <c r="K54">
        <v>2922.81</v>
      </c>
    </row>
    <row r="55" spans="1:11" x14ac:dyDescent="0.25">
      <c r="A55">
        <v>292</v>
      </c>
      <c r="B55" s="17">
        <v>45939</v>
      </c>
      <c r="C55" s="18" t="s">
        <v>19</v>
      </c>
      <c r="D55" s="18" t="s">
        <v>12</v>
      </c>
      <c r="E55" s="18" t="s">
        <v>17</v>
      </c>
      <c r="F55" s="18" t="s">
        <v>18</v>
      </c>
      <c r="G55">
        <v>10</v>
      </c>
      <c r="H55">
        <v>824.89400000000001</v>
      </c>
      <c r="I55">
        <v>534.72400000000005</v>
      </c>
      <c r="J55">
        <v>2901.7</v>
      </c>
      <c r="K55">
        <v>8248.94</v>
      </c>
    </row>
    <row r="56" spans="1:11" x14ac:dyDescent="0.25">
      <c r="A56">
        <v>199</v>
      </c>
      <c r="B56" s="17">
        <v>45928</v>
      </c>
      <c r="C56" s="18" t="s">
        <v>23</v>
      </c>
      <c r="D56" s="18" t="s">
        <v>29</v>
      </c>
      <c r="E56" s="18" t="s">
        <v>13</v>
      </c>
      <c r="F56" s="18" t="s">
        <v>37</v>
      </c>
      <c r="G56">
        <v>3</v>
      </c>
      <c r="H56">
        <v>591.71199999999999</v>
      </c>
      <c r="I56">
        <v>305.27600000000001</v>
      </c>
      <c r="J56">
        <v>859.30799999999999</v>
      </c>
      <c r="K56">
        <v>1775.136</v>
      </c>
    </row>
    <row r="57" spans="1:11" x14ac:dyDescent="0.25">
      <c r="A57">
        <v>183</v>
      </c>
      <c r="B57" s="17">
        <v>45738</v>
      </c>
      <c r="C57" s="18" t="s">
        <v>11</v>
      </c>
      <c r="D57" s="18" t="s">
        <v>27</v>
      </c>
      <c r="E57" s="18" t="s">
        <v>13</v>
      </c>
      <c r="F57" s="18" t="s">
        <v>38</v>
      </c>
      <c r="G57">
        <v>6</v>
      </c>
      <c r="H57">
        <v>964.21799999999996</v>
      </c>
      <c r="I57">
        <v>679.01599999999996</v>
      </c>
      <c r="J57">
        <v>1711.212</v>
      </c>
      <c r="K57">
        <v>5785.308</v>
      </c>
    </row>
    <row r="58" spans="1:11" x14ac:dyDescent="0.25">
      <c r="A58">
        <v>201</v>
      </c>
      <c r="B58" s="17">
        <v>45746</v>
      </c>
      <c r="C58" s="18" t="s">
        <v>31</v>
      </c>
      <c r="D58" s="18" t="s">
        <v>16</v>
      </c>
      <c r="E58" s="18" t="s">
        <v>21</v>
      </c>
      <c r="F58" s="18" t="s">
        <v>25</v>
      </c>
      <c r="G58">
        <v>2</v>
      </c>
      <c r="H58">
        <v>836.428</v>
      </c>
      <c r="I58">
        <v>552.00400000000002</v>
      </c>
      <c r="J58">
        <v>568.84799999999996</v>
      </c>
      <c r="K58">
        <v>1672.856</v>
      </c>
    </row>
    <row r="59" spans="1:11" x14ac:dyDescent="0.25">
      <c r="A59">
        <v>215</v>
      </c>
      <c r="B59" s="17">
        <v>45969</v>
      </c>
      <c r="C59" s="18" t="s">
        <v>15</v>
      </c>
      <c r="D59" s="18" t="s">
        <v>29</v>
      </c>
      <c r="E59" s="18" t="s">
        <v>17</v>
      </c>
      <c r="F59" s="18" t="s">
        <v>38</v>
      </c>
      <c r="G59">
        <v>5</v>
      </c>
      <c r="H59">
        <v>578.71799999999996</v>
      </c>
      <c r="I59">
        <v>296.56400000000002</v>
      </c>
      <c r="J59">
        <v>1410.77</v>
      </c>
      <c r="K59">
        <v>2893.59</v>
      </c>
    </row>
    <row r="60" spans="1:11" x14ac:dyDescent="0.25">
      <c r="A60">
        <v>260</v>
      </c>
      <c r="B60" s="17">
        <v>45699</v>
      </c>
      <c r="C60" s="18" t="s">
        <v>28</v>
      </c>
      <c r="D60" s="18" t="s">
        <v>29</v>
      </c>
      <c r="E60" s="18" t="s">
        <v>24</v>
      </c>
      <c r="F60" s="18" t="s">
        <v>22</v>
      </c>
      <c r="G60">
        <v>4</v>
      </c>
      <c r="H60">
        <v>820.57399999999996</v>
      </c>
      <c r="I60">
        <v>538.80600000000004</v>
      </c>
      <c r="J60">
        <v>1127.0719999999999</v>
      </c>
      <c r="K60">
        <v>3282.2959999999998</v>
      </c>
    </row>
    <row r="61" spans="1:11" x14ac:dyDescent="0.25">
      <c r="A61">
        <v>195</v>
      </c>
      <c r="B61" s="17">
        <v>45774</v>
      </c>
      <c r="C61" s="18" t="s">
        <v>35</v>
      </c>
      <c r="D61" s="18" t="s">
        <v>16</v>
      </c>
      <c r="E61" s="18" t="s">
        <v>13</v>
      </c>
      <c r="F61" s="18" t="s">
        <v>44</v>
      </c>
      <c r="G61">
        <v>10</v>
      </c>
      <c r="H61">
        <v>576.92399999999998</v>
      </c>
      <c r="I61">
        <v>297.64999999999998</v>
      </c>
      <c r="J61">
        <v>2792.74</v>
      </c>
      <c r="K61">
        <v>5769.24</v>
      </c>
    </row>
    <row r="62" spans="1:11" x14ac:dyDescent="0.25">
      <c r="A62">
        <v>102</v>
      </c>
      <c r="B62" s="17">
        <v>45987</v>
      </c>
      <c r="C62" s="18" t="s">
        <v>42</v>
      </c>
      <c r="D62" s="18" t="s">
        <v>27</v>
      </c>
      <c r="E62" s="18" t="s">
        <v>24</v>
      </c>
      <c r="F62" s="18" t="s">
        <v>33</v>
      </c>
      <c r="G62">
        <v>9</v>
      </c>
      <c r="H62">
        <v>621.73800000000006</v>
      </c>
      <c r="I62">
        <v>344.09800000000001</v>
      </c>
      <c r="J62">
        <v>2498.7600000000002</v>
      </c>
      <c r="K62">
        <v>5595.6419999999998</v>
      </c>
    </row>
    <row r="63" spans="1:11" x14ac:dyDescent="0.25">
      <c r="A63">
        <v>163</v>
      </c>
      <c r="B63" s="17">
        <v>45755</v>
      </c>
      <c r="C63" s="18" t="s">
        <v>43</v>
      </c>
      <c r="D63" s="18" t="s">
        <v>20</v>
      </c>
      <c r="E63" s="18" t="s">
        <v>24</v>
      </c>
      <c r="F63" s="18" t="s">
        <v>14</v>
      </c>
      <c r="G63">
        <v>9</v>
      </c>
      <c r="H63">
        <v>788.85199999999998</v>
      </c>
      <c r="I63">
        <v>512.52599999999995</v>
      </c>
      <c r="J63">
        <v>2486.9340000000002</v>
      </c>
      <c r="K63">
        <v>7099.6679999999997</v>
      </c>
    </row>
    <row r="64" spans="1:11" x14ac:dyDescent="0.25">
      <c r="A64">
        <v>264</v>
      </c>
      <c r="B64" s="17">
        <v>45740</v>
      </c>
      <c r="C64" s="18" t="s">
        <v>42</v>
      </c>
      <c r="D64" s="18" t="s">
        <v>16</v>
      </c>
      <c r="E64" s="18" t="s">
        <v>36</v>
      </c>
      <c r="F64" s="18" t="s">
        <v>25</v>
      </c>
      <c r="G64">
        <v>10</v>
      </c>
      <c r="H64">
        <v>942.21</v>
      </c>
      <c r="I64">
        <v>667.28200000000004</v>
      </c>
      <c r="J64">
        <v>2749.28</v>
      </c>
      <c r="K64">
        <v>9422.1</v>
      </c>
    </row>
    <row r="65" spans="1:11" x14ac:dyDescent="0.25">
      <c r="A65">
        <v>101</v>
      </c>
      <c r="B65" s="17">
        <v>45816</v>
      </c>
      <c r="C65" s="18" t="s">
        <v>35</v>
      </c>
      <c r="D65" s="18" t="s">
        <v>27</v>
      </c>
      <c r="E65" s="18" t="s">
        <v>17</v>
      </c>
      <c r="F65" s="18" t="s">
        <v>22</v>
      </c>
      <c r="G65">
        <v>1</v>
      </c>
      <c r="H65">
        <v>554.21400000000006</v>
      </c>
      <c r="I65">
        <v>280.72000000000003</v>
      </c>
      <c r="J65">
        <v>273.49400000000003</v>
      </c>
      <c r="K65">
        <v>554.21400000000006</v>
      </c>
    </row>
    <row r="66" spans="1:11" x14ac:dyDescent="0.25">
      <c r="A66">
        <v>159</v>
      </c>
      <c r="B66" s="17">
        <v>45808</v>
      </c>
      <c r="C66" s="18" t="s">
        <v>35</v>
      </c>
      <c r="D66" s="18" t="s">
        <v>12</v>
      </c>
      <c r="E66" s="18" t="s">
        <v>21</v>
      </c>
      <c r="F66" s="18" t="s">
        <v>30</v>
      </c>
      <c r="G66">
        <v>3</v>
      </c>
      <c r="H66">
        <v>732.30600000000004</v>
      </c>
      <c r="I66">
        <v>464.54599999999999</v>
      </c>
      <c r="J66">
        <v>803.28</v>
      </c>
      <c r="K66">
        <v>2196.9180000000001</v>
      </c>
    </row>
    <row r="67" spans="1:11" x14ac:dyDescent="0.25">
      <c r="A67">
        <v>37</v>
      </c>
      <c r="B67" s="17">
        <v>45649</v>
      </c>
      <c r="C67" s="18" t="s">
        <v>34</v>
      </c>
      <c r="D67" s="18" t="s">
        <v>16</v>
      </c>
      <c r="E67" s="18" t="s">
        <v>17</v>
      </c>
      <c r="F67" s="18" t="s">
        <v>25</v>
      </c>
      <c r="G67">
        <v>6</v>
      </c>
      <c r="H67">
        <v>692.08799999999997</v>
      </c>
      <c r="I67">
        <v>424.45800000000003</v>
      </c>
      <c r="J67">
        <v>1605.78</v>
      </c>
      <c r="K67">
        <v>4152.5280000000002</v>
      </c>
    </row>
    <row r="68" spans="1:11" x14ac:dyDescent="0.25">
      <c r="A68">
        <v>152</v>
      </c>
      <c r="B68" s="17">
        <v>45689</v>
      </c>
      <c r="C68" s="18" t="s">
        <v>26</v>
      </c>
      <c r="D68" s="18" t="s">
        <v>29</v>
      </c>
      <c r="E68" s="18" t="s">
        <v>21</v>
      </c>
      <c r="F68" s="18" t="s">
        <v>44</v>
      </c>
      <c r="G68">
        <v>5</v>
      </c>
      <c r="H68">
        <v>919.32600000000002</v>
      </c>
      <c r="I68">
        <v>653.57399999999996</v>
      </c>
      <c r="J68">
        <v>1328.76</v>
      </c>
      <c r="K68">
        <v>4596.63</v>
      </c>
    </row>
    <row r="69" spans="1:11" x14ac:dyDescent="0.25">
      <c r="A69">
        <v>232</v>
      </c>
      <c r="B69" s="17">
        <v>45863</v>
      </c>
      <c r="C69" s="18" t="s">
        <v>34</v>
      </c>
      <c r="D69" s="18" t="s">
        <v>16</v>
      </c>
      <c r="E69" s="18" t="s">
        <v>13</v>
      </c>
      <c r="F69" s="18" t="s">
        <v>37</v>
      </c>
      <c r="G69">
        <v>1</v>
      </c>
      <c r="H69">
        <v>898.72199999999998</v>
      </c>
      <c r="I69">
        <v>634.75</v>
      </c>
      <c r="J69">
        <v>263.97199999999998</v>
      </c>
      <c r="K69">
        <v>898.72199999999998</v>
      </c>
    </row>
    <row r="70" spans="1:11" x14ac:dyDescent="0.25">
      <c r="A70">
        <v>216</v>
      </c>
      <c r="B70" s="17">
        <v>45679</v>
      </c>
      <c r="C70" s="18" t="s">
        <v>15</v>
      </c>
      <c r="D70" s="18" t="s">
        <v>16</v>
      </c>
      <c r="E70" s="18" t="s">
        <v>24</v>
      </c>
      <c r="F70" s="18" t="s">
        <v>38</v>
      </c>
      <c r="G70">
        <v>2</v>
      </c>
      <c r="H70">
        <v>624.41200000000003</v>
      </c>
      <c r="I70">
        <v>360.59</v>
      </c>
      <c r="J70">
        <v>527.64400000000001</v>
      </c>
      <c r="K70">
        <v>1248.8240000000001</v>
      </c>
    </row>
    <row r="71" spans="1:11" x14ac:dyDescent="0.25">
      <c r="A71">
        <v>210</v>
      </c>
      <c r="B71" s="17">
        <v>45993</v>
      </c>
      <c r="C71" s="18" t="s">
        <v>26</v>
      </c>
      <c r="D71" s="18" t="s">
        <v>29</v>
      </c>
      <c r="E71" s="18" t="s">
        <v>17</v>
      </c>
      <c r="F71" s="18" t="s">
        <v>32</v>
      </c>
      <c r="G71">
        <v>3</v>
      </c>
      <c r="H71">
        <v>746.54200000000003</v>
      </c>
      <c r="I71">
        <v>483.04399999999998</v>
      </c>
      <c r="J71">
        <v>790.49400000000003</v>
      </c>
      <c r="K71">
        <v>2239.6260000000002</v>
      </c>
    </row>
    <row r="72" spans="1:11" x14ac:dyDescent="0.25">
      <c r="A72">
        <v>136</v>
      </c>
      <c r="B72" s="17">
        <v>45944</v>
      </c>
      <c r="C72" s="18" t="s">
        <v>39</v>
      </c>
      <c r="D72" s="18" t="s">
        <v>29</v>
      </c>
      <c r="E72" s="18" t="s">
        <v>13</v>
      </c>
      <c r="F72" s="18" t="s">
        <v>33</v>
      </c>
      <c r="G72">
        <v>8</v>
      </c>
      <c r="H72">
        <v>549.4</v>
      </c>
      <c r="I72">
        <v>289.60000000000002</v>
      </c>
      <c r="J72">
        <v>2078.4</v>
      </c>
      <c r="K72">
        <v>4395.2</v>
      </c>
    </row>
    <row r="73" spans="1:11" x14ac:dyDescent="0.25">
      <c r="A73">
        <v>157</v>
      </c>
      <c r="B73" s="17">
        <v>45703</v>
      </c>
      <c r="C73" s="18" t="s">
        <v>26</v>
      </c>
      <c r="D73" s="18" t="s">
        <v>20</v>
      </c>
      <c r="E73" s="18" t="s">
        <v>36</v>
      </c>
      <c r="F73" s="18" t="s">
        <v>32</v>
      </c>
      <c r="G73">
        <v>8</v>
      </c>
      <c r="H73">
        <v>903.98400000000004</v>
      </c>
      <c r="I73">
        <v>645.09400000000005</v>
      </c>
      <c r="J73">
        <v>2071.12</v>
      </c>
      <c r="K73">
        <v>7231.8720000000003</v>
      </c>
    </row>
    <row r="74" spans="1:11" x14ac:dyDescent="0.25">
      <c r="A74">
        <v>150</v>
      </c>
      <c r="B74" s="17">
        <v>45775</v>
      </c>
      <c r="C74" s="18" t="s">
        <v>19</v>
      </c>
      <c r="D74" s="18" t="s">
        <v>20</v>
      </c>
      <c r="E74" s="18" t="s">
        <v>36</v>
      </c>
      <c r="F74" s="18" t="s">
        <v>32</v>
      </c>
      <c r="G74">
        <v>4</v>
      </c>
      <c r="H74">
        <v>807.65599999999995</v>
      </c>
      <c r="I74">
        <v>549.03599999999994</v>
      </c>
      <c r="J74">
        <v>1034.48</v>
      </c>
      <c r="K74">
        <v>3230.6239999999998</v>
      </c>
    </row>
    <row r="75" spans="1:11" x14ac:dyDescent="0.25">
      <c r="A75">
        <v>231</v>
      </c>
      <c r="B75" s="17">
        <v>45830</v>
      </c>
      <c r="C75" s="18" t="s">
        <v>41</v>
      </c>
      <c r="D75" s="18" t="s">
        <v>16</v>
      </c>
      <c r="E75" s="18" t="s">
        <v>36</v>
      </c>
      <c r="F75" s="18" t="s">
        <v>37</v>
      </c>
      <c r="G75">
        <v>9</v>
      </c>
      <c r="H75">
        <v>618.548</v>
      </c>
      <c r="I75">
        <v>362.75400000000002</v>
      </c>
      <c r="J75">
        <v>2302.1460000000002</v>
      </c>
      <c r="K75">
        <v>5566.9319999999998</v>
      </c>
    </row>
    <row r="76" spans="1:11" x14ac:dyDescent="0.25">
      <c r="A76">
        <v>130</v>
      </c>
      <c r="B76" s="17">
        <v>45707</v>
      </c>
      <c r="C76" s="18" t="s">
        <v>43</v>
      </c>
      <c r="D76" s="18" t="s">
        <v>20</v>
      </c>
      <c r="E76" s="18" t="s">
        <v>21</v>
      </c>
      <c r="F76" s="18" t="s">
        <v>37</v>
      </c>
      <c r="G76">
        <v>10</v>
      </c>
      <c r="H76">
        <v>522.38</v>
      </c>
      <c r="I76">
        <v>267.79199999999997</v>
      </c>
      <c r="J76">
        <v>2545.88</v>
      </c>
      <c r="K76">
        <v>5223.8</v>
      </c>
    </row>
    <row r="77" spans="1:11" x14ac:dyDescent="0.25">
      <c r="A77">
        <v>111</v>
      </c>
      <c r="B77" s="17">
        <v>45980</v>
      </c>
      <c r="C77" s="18" t="s">
        <v>31</v>
      </c>
      <c r="D77" s="18" t="s">
        <v>20</v>
      </c>
      <c r="E77" s="18" t="s">
        <v>36</v>
      </c>
      <c r="F77" s="18" t="s">
        <v>33</v>
      </c>
      <c r="G77">
        <v>7</v>
      </c>
      <c r="H77">
        <v>596.30999999999995</v>
      </c>
      <c r="I77">
        <v>342.78399999999999</v>
      </c>
      <c r="J77">
        <v>1774.682</v>
      </c>
      <c r="K77">
        <v>4174.17</v>
      </c>
    </row>
    <row r="78" spans="1:11" x14ac:dyDescent="0.25">
      <c r="A78">
        <v>202</v>
      </c>
      <c r="B78" s="17">
        <v>45988</v>
      </c>
      <c r="C78" s="18" t="s">
        <v>34</v>
      </c>
      <c r="D78" s="18" t="s">
        <v>27</v>
      </c>
      <c r="E78" s="18" t="s">
        <v>24</v>
      </c>
      <c r="F78" s="18" t="s">
        <v>14</v>
      </c>
      <c r="G78">
        <v>10</v>
      </c>
      <c r="H78">
        <v>730.49400000000003</v>
      </c>
      <c r="I78">
        <v>478.36599999999999</v>
      </c>
      <c r="J78">
        <v>2521.2800000000002</v>
      </c>
      <c r="K78">
        <v>7304.94</v>
      </c>
    </row>
    <row r="79" spans="1:11" x14ac:dyDescent="0.25">
      <c r="A79">
        <v>194</v>
      </c>
      <c r="B79" s="17">
        <v>45898</v>
      </c>
      <c r="C79" s="18" t="s">
        <v>15</v>
      </c>
      <c r="D79" s="18" t="s">
        <v>20</v>
      </c>
      <c r="E79" s="18" t="s">
        <v>24</v>
      </c>
      <c r="F79" s="18" t="s">
        <v>44</v>
      </c>
      <c r="G79">
        <v>8</v>
      </c>
      <c r="H79">
        <v>603.93200000000002</v>
      </c>
      <c r="I79">
        <v>352.80399999999997</v>
      </c>
      <c r="J79">
        <v>2009.0239999999999</v>
      </c>
      <c r="K79">
        <v>4831.4560000000001</v>
      </c>
    </row>
    <row r="80" spans="1:11" x14ac:dyDescent="0.25">
      <c r="A80">
        <v>75</v>
      </c>
      <c r="B80" s="17">
        <v>45740</v>
      </c>
      <c r="C80" s="18" t="s">
        <v>31</v>
      </c>
      <c r="D80" s="18" t="s">
        <v>20</v>
      </c>
      <c r="E80" s="18" t="s">
        <v>21</v>
      </c>
      <c r="F80" s="18" t="s">
        <v>38</v>
      </c>
      <c r="G80">
        <v>3</v>
      </c>
      <c r="H80">
        <v>561.37800000000004</v>
      </c>
      <c r="I80">
        <v>311.73399999999998</v>
      </c>
      <c r="J80">
        <v>748.93200000000002</v>
      </c>
      <c r="K80">
        <v>1684.134</v>
      </c>
    </row>
    <row r="81" spans="1:11" x14ac:dyDescent="0.25">
      <c r="A81">
        <v>9</v>
      </c>
      <c r="B81" s="17">
        <v>45738</v>
      </c>
      <c r="C81" s="18" t="s">
        <v>28</v>
      </c>
      <c r="D81" s="18" t="s">
        <v>12</v>
      </c>
      <c r="E81" s="18" t="s">
        <v>17</v>
      </c>
      <c r="F81" s="18" t="s">
        <v>25</v>
      </c>
      <c r="G81">
        <v>7</v>
      </c>
      <c r="H81">
        <v>711.11</v>
      </c>
      <c r="I81">
        <v>461.77800000000002</v>
      </c>
      <c r="J81">
        <v>1745.3240000000001</v>
      </c>
      <c r="K81">
        <v>4977.7700000000004</v>
      </c>
    </row>
    <row r="82" spans="1:11" x14ac:dyDescent="0.25">
      <c r="A82">
        <v>241</v>
      </c>
      <c r="B82" s="17">
        <v>45886</v>
      </c>
      <c r="C82" s="18" t="s">
        <v>28</v>
      </c>
      <c r="D82" s="18" t="s">
        <v>20</v>
      </c>
      <c r="E82" s="18" t="s">
        <v>13</v>
      </c>
      <c r="F82" s="18" t="s">
        <v>14</v>
      </c>
      <c r="G82">
        <v>6</v>
      </c>
      <c r="H82">
        <v>835.89800000000002</v>
      </c>
      <c r="I82">
        <v>587.98599999999999</v>
      </c>
      <c r="J82">
        <v>1487.472</v>
      </c>
      <c r="K82">
        <v>5015.3879999999999</v>
      </c>
    </row>
    <row r="83" spans="1:11" x14ac:dyDescent="0.25">
      <c r="A83">
        <v>171</v>
      </c>
      <c r="B83" s="17">
        <v>45958</v>
      </c>
      <c r="C83" s="18" t="s">
        <v>40</v>
      </c>
      <c r="D83" s="18" t="s">
        <v>20</v>
      </c>
      <c r="E83" s="18" t="s">
        <v>13</v>
      </c>
      <c r="F83" s="18" t="s">
        <v>30</v>
      </c>
      <c r="G83">
        <v>5</v>
      </c>
      <c r="H83">
        <v>852.11199999999997</v>
      </c>
      <c r="I83">
        <v>604.89800000000002</v>
      </c>
      <c r="J83">
        <v>1236.07</v>
      </c>
      <c r="K83">
        <v>4260.5600000000004</v>
      </c>
    </row>
    <row r="84" spans="1:11" x14ac:dyDescent="0.25">
      <c r="A84">
        <v>178</v>
      </c>
      <c r="B84" s="17">
        <v>45872</v>
      </c>
      <c r="C84" s="18" t="s">
        <v>34</v>
      </c>
      <c r="D84" s="18" t="s">
        <v>12</v>
      </c>
      <c r="E84" s="18" t="s">
        <v>21</v>
      </c>
      <c r="F84" s="18" t="s">
        <v>44</v>
      </c>
      <c r="G84">
        <v>6</v>
      </c>
      <c r="H84">
        <v>796.86800000000005</v>
      </c>
      <c r="I84">
        <v>549.9</v>
      </c>
      <c r="J84">
        <v>1481.808</v>
      </c>
      <c r="K84">
        <v>4781.2079999999996</v>
      </c>
    </row>
    <row r="85" spans="1:11" x14ac:dyDescent="0.25">
      <c r="A85">
        <v>35</v>
      </c>
      <c r="B85" s="17">
        <v>45809</v>
      </c>
      <c r="C85" s="18" t="s">
        <v>34</v>
      </c>
      <c r="D85" s="18" t="s">
        <v>20</v>
      </c>
      <c r="E85" s="18" t="s">
        <v>13</v>
      </c>
      <c r="F85" s="18" t="s">
        <v>37</v>
      </c>
      <c r="G85">
        <v>7</v>
      </c>
      <c r="H85">
        <v>673.28800000000001</v>
      </c>
      <c r="I85">
        <v>429.95600000000002</v>
      </c>
      <c r="J85">
        <v>1703.3240000000001</v>
      </c>
      <c r="K85">
        <v>4713.0159999999996</v>
      </c>
    </row>
    <row r="86" spans="1:11" x14ac:dyDescent="0.25">
      <c r="A86">
        <v>206</v>
      </c>
      <c r="B86" s="17">
        <v>45990</v>
      </c>
      <c r="C86" s="18" t="s">
        <v>15</v>
      </c>
      <c r="D86" s="18" t="s">
        <v>20</v>
      </c>
      <c r="E86" s="18" t="s">
        <v>21</v>
      </c>
      <c r="F86" s="18" t="s">
        <v>44</v>
      </c>
      <c r="G86">
        <v>10</v>
      </c>
      <c r="H86">
        <v>818.19799999999998</v>
      </c>
      <c r="I86">
        <v>575.85400000000004</v>
      </c>
      <c r="J86">
        <v>2423.44</v>
      </c>
      <c r="K86">
        <v>8181.98</v>
      </c>
    </row>
    <row r="87" spans="1:11" x14ac:dyDescent="0.25">
      <c r="A87">
        <v>61</v>
      </c>
      <c r="B87" s="17">
        <v>45799</v>
      </c>
      <c r="C87" s="18" t="s">
        <v>15</v>
      </c>
      <c r="D87" s="18" t="s">
        <v>12</v>
      </c>
      <c r="E87" s="18" t="s">
        <v>13</v>
      </c>
      <c r="F87" s="18" t="s">
        <v>22</v>
      </c>
      <c r="G87">
        <v>7</v>
      </c>
      <c r="H87">
        <v>488.78</v>
      </c>
      <c r="I87">
        <v>247.126</v>
      </c>
      <c r="J87">
        <v>1691.578</v>
      </c>
      <c r="K87">
        <v>3421.46</v>
      </c>
    </row>
    <row r="88" spans="1:11" x14ac:dyDescent="0.25">
      <c r="A88">
        <v>40</v>
      </c>
      <c r="B88" s="17">
        <v>45720</v>
      </c>
      <c r="C88" s="18" t="s">
        <v>35</v>
      </c>
      <c r="D88" s="18" t="s">
        <v>29</v>
      </c>
      <c r="E88" s="18" t="s">
        <v>17</v>
      </c>
      <c r="F88" s="18" t="s">
        <v>25</v>
      </c>
      <c r="G88">
        <v>2</v>
      </c>
      <c r="H88">
        <v>739.85799999999995</v>
      </c>
      <c r="I88">
        <v>499.28800000000001</v>
      </c>
      <c r="J88">
        <v>481.14</v>
      </c>
      <c r="K88">
        <v>1479.7159999999999</v>
      </c>
    </row>
    <row r="89" spans="1:11" x14ac:dyDescent="0.25">
      <c r="A89">
        <v>108</v>
      </c>
      <c r="B89" s="17">
        <v>45750</v>
      </c>
      <c r="C89" s="18" t="s">
        <v>35</v>
      </c>
      <c r="D89" s="18" t="s">
        <v>20</v>
      </c>
      <c r="E89" s="18" t="s">
        <v>17</v>
      </c>
      <c r="F89" s="18" t="s">
        <v>38</v>
      </c>
      <c r="G89">
        <v>8</v>
      </c>
      <c r="H89">
        <v>834.79</v>
      </c>
      <c r="I89">
        <v>594.61199999999997</v>
      </c>
      <c r="J89">
        <v>1921.424</v>
      </c>
      <c r="K89">
        <v>6678.32</v>
      </c>
    </row>
    <row r="90" spans="1:11" x14ac:dyDescent="0.25">
      <c r="A90">
        <v>283</v>
      </c>
      <c r="B90" s="17">
        <v>45837</v>
      </c>
      <c r="C90" s="18" t="s">
        <v>15</v>
      </c>
      <c r="D90" s="18" t="s">
        <v>27</v>
      </c>
      <c r="E90" s="18" t="s">
        <v>36</v>
      </c>
      <c r="F90" s="18" t="s">
        <v>18</v>
      </c>
      <c r="G90">
        <v>8</v>
      </c>
      <c r="H90">
        <v>569.10599999999999</v>
      </c>
      <c r="I90">
        <v>329.70400000000001</v>
      </c>
      <c r="J90">
        <v>1915.2159999999999</v>
      </c>
      <c r="K90">
        <v>4552.848</v>
      </c>
    </row>
    <row r="91" spans="1:11" x14ac:dyDescent="0.25">
      <c r="A91">
        <v>20</v>
      </c>
      <c r="B91" s="17">
        <v>45633</v>
      </c>
      <c r="C91" s="18" t="s">
        <v>11</v>
      </c>
      <c r="D91" s="18" t="s">
        <v>12</v>
      </c>
      <c r="E91" s="18" t="s">
        <v>17</v>
      </c>
      <c r="F91" s="18" t="s">
        <v>18</v>
      </c>
      <c r="G91">
        <v>6</v>
      </c>
      <c r="H91">
        <v>723.66200000000003</v>
      </c>
      <c r="I91">
        <v>485.00200000000001</v>
      </c>
      <c r="J91">
        <v>1431.96</v>
      </c>
      <c r="K91">
        <v>4341.9719999999998</v>
      </c>
    </row>
    <row r="92" spans="1:11" x14ac:dyDescent="0.25">
      <c r="A92">
        <v>24</v>
      </c>
      <c r="B92" s="17">
        <v>45830</v>
      </c>
      <c r="C92" s="18" t="s">
        <v>42</v>
      </c>
      <c r="D92" s="18" t="s">
        <v>27</v>
      </c>
      <c r="E92" s="18" t="s">
        <v>21</v>
      </c>
      <c r="F92" s="18" t="s">
        <v>25</v>
      </c>
      <c r="G92">
        <v>2</v>
      </c>
      <c r="H92">
        <v>679.04600000000005</v>
      </c>
      <c r="I92">
        <v>440.85199999999998</v>
      </c>
      <c r="J92">
        <v>476.38799999999998</v>
      </c>
      <c r="K92">
        <v>1358.0920000000001</v>
      </c>
    </row>
    <row r="93" spans="1:11" x14ac:dyDescent="0.25">
      <c r="A93">
        <v>167</v>
      </c>
      <c r="B93" s="17">
        <v>45920</v>
      </c>
      <c r="C93" s="18" t="s">
        <v>15</v>
      </c>
      <c r="D93" s="18" t="s">
        <v>27</v>
      </c>
      <c r="E93" s="18" t="s">
        <v>13</v>
      </c>
      <c r="F93" s="18" t="s">
        <v>18</v>
      </c>
      <c r="G93">
        <v>8</v>
      </c>
      <c r="H93">
        <v>536.49400000000003</v>
      </c>
      <c r="I93">
        <v>298.714</v>
      </c>
      <c r="J93">
        <v>1902.24</v>
      </c>
      <c r="K93">
        <v>4291.9520000000002</v>
      </c>
    </row>
    <row r="94" spans="1:11" x14ac:dyDescent="0.25">
      <c r="A94">
        <v>103</v>
      </c>
      <c r="B94" s="17">
        <v>45775</v>
      </c>
      <c r="C94" s="18" t="s">
        <v>39</v>
      </c>
      <c r="D94" s="18" t="s">
        <v>20</v>
      </c>
      <c r="E94" s="18" t="s">
        <v>36</v>
      </c>
      <c r="F94" s="18" t="s">
        <v>32</v>
      </c>
      <c r="G94">
        <v>10</v>
      </c>
      <c r="H94">
        <v>994.62199999999996</v>
      </c>
      <c r="I94">
        <v>757.26</v>
      </c>
      <c r="J94">
        <v>2373.62</v>
      </c>
      <c r="K94">
        <v>9946.2199999999993</v>
      </c>
    </row>
    <row r="95" spans="1:11" x14ac:dyDescent="0.25">
      <c r="A95">
        <v>296</v>
      </c>
      <c r="B95" s="17">
        <v>45684</v>
      </c>
      <c r="C95" s="18" t="s">
        <v>19</v>
      </c>
      <c r="D95" s="18" t="s">
        <v>27</v>
      </c>
      <c r="E95" s="18" t="s">
        <v>36</v>
      </c>
      <c r="F95" s="18" t="s">
        <v>33</v>
      </c>
      <c r="G95">
        <v>8</v>
      </c>
      <c r="H95">
        <v>514.31600000000003</v>
      </c>
      <c r="I95">
        <v>279.24</v>
      </c>
      <c r="J95">
        <v>1880.6079999999999</v>
      </c>
      <c r="K95">
        <v>4114.5280000000002</v>
      </c>
    </row>
    <row r="96" spans="1:11" x14ac:dyDescent="0.25">
      <c r="A96">
        <v>85</v>
      </c>
      <c r="B96" s="17">
        <v>45917</v>
      </c>
      <c r="C96" s="18" t="s">
        <v>28</v>
      </c>
      <c r="D96" s="18" t="s">
        <v>29</v>
      </c>
      <c r="E96" s="18" t="s">
        <v>17</v>
      </c>
      <c r="F96" s="18" t="s">
        <v>22</v>
      </c>
      <c r="G96">
        <v>3</v>
      </c>
      <c r="H96">
        <v>680.154</v>
      </c>
      <c r="I96">
        <v>445.48399999999998</v>
      </c>
      <c r="J96">
        <v>704.01</v>
      </c>
      <c r="K96">
        <v>2040.462</v>
      </c>
    </row>
    <row r="97" spans="1:11" x14ac:dyDescent="0.25">
      <c r="A97">
        <v>11</v>
      </c>
      <c r="B97" s="17">
        <v>45869</v>
      </c>
      <c r="C97" s="18" t="s">
        <v>19</v>
      </c>
      <c r="D97" s="18" t="s">
        <v>20</v>
      </c>
      <c r="E97" s="18" t="s">
        <v>36</v>
      </c>
      <c r="F97" s="18" t="s">
        <v>33</v>
      </c>
      <c r="G97">
        <v>9</v>
      </c>
      <c r="H97">
        <v>483.22399999999999</v>
      </c>
      <c r="I97">
        <v>249.43600000000001</v>
      </c>
      <c r="J97">
        <v>2104.0920000000001</v>
      </c>
      <c r="K97">
        <v>4349.0159999999996</v>
      </c>
    </row>
    <row r="98" spans="1:11" x14ac:dyDescent="0.25">
      <c r="A98">
        <v>64</v>
      </c>
      <c r="B98" s="17">
        <v>45888</v>
      </c>
      <c r="C98" s="18" t="s">
        <v>31</v>
      </c>
      <c r="D98" s="18" t="s">
        <v>27</v>
      </c>
      <c r="E98" s="18" t="s">
        <v>13</v>
      </c>
      <c r="F98" s="18" t="s">
        <v>18</v>
      </c>
      <c r="G98">
        <v>9</v>
      </c>
      <c r="H98">
        <v>867.38800000000003</v>
      </c>
      <c r="I98">
        <v>634.45000000000005</v>
      </c>
      <c r="J98">
        <v>2096.442</v>
      </c>
      <c r="K98">
        <v>7806.4920000000002</v>
      </c>
    </row>
    <row r="99" spans="1:11" x14ac:dyDescent="0.25">
      <c r="A99">
        <v>190</v>
      </c>
      <c r="B99" s="17">
        <v>45725</v>
      </c>
      <c r="C99" s="18" t="s">
        <v>35</v>
      </c>
      <c r="D99" s="18" t="s">
        <v>20</v>
      </c>
      <c r="E99" s="18" t="s">
        <v>17</v>
      </c>
      <c r="F99" s="18" t="s">
        <v>32</v>
      </c>
      <c r="G99">
        <v>9</v>
      </c>
      <c r="H99">
        <v>530.01599999999996</v>
      </c>
      <c r="I99">
        <v>298.52800000000002</v>
      </c>
      <c r="J99">
        <v>2083.3919999999998</v>
      </c>
      <c r="K99">
        <v>4770.1440000000002</v>
      </c>
    </row>
    <row r="100" spans="1:11" x14ac:dyDescent="0.25">
      <c r="A100">
        <v>151</v>
      </c>
      <c r="B100" s="17">
        <v>45852</v>
      </c>
      <c r="C100" s="18" t="s">
        <v>40</v>
      </c>
      <c r="D100" s="18" t="s">
        <v>16</v>
      </c>
      <c r="E100" s="18" t="s">
        <v>21</v>
      </c>
      <c r="F100" s="18" t="s">
        <v>18</v>
      </c>
      <c r="G100">
        <v>3</v>
      </c>
      <c r="H100">
        <v>796.18</v>
      </c>
      <c r="I100">
        <v>565.51800000000003</v>
      </c>
      <c r="J100">
        <v>691.98599999999999</v>
      </c>
      <c r="K100">
        <v>2388.54</v>
      </c>
    </row>
    <row r="101" spans="1:11" x14ac:dyDescent="0.25">
      <c r="A101">
        <v>105</v>
      </c>
      <c r="B101" s="17">
        <v>45654</v>
      </c>
      <c r="C101" s="18" t="s">
        <v>41</v>
      </c>
      <c r="D101" s="18" t="s">
        <v>20</v>
      </c>
      <c r="E101" s="18" t="s">
        <v>24</v>
      </c>
      <c r="F101" s="18" t="s">
        <v>38</v>
      </c>
      <c r="G101">
        <v>5</v>
      </c>
      <c r="H101">
        <v>631.76</v>
      </c>
      <c r="I101">
        <v>401.55200000000002</v>
      </c>
      <c r="J101">
        <v>1151.04</v>
      </c>
      <c r="K101">
        <v>3158.8</v>
      </c>
    </row>
    <row r="102" spans="1:11" x14ac:dyDescent="0.25">
      <c r="A102">
        <v>119</v>
      </c>
      <c r="B102" s="17">
        <v>45879</v>
      </c>
      <c r="C102" s="18" t="s">
        <v>19</v>
      </c>
      <c r="D102" s="18" t="s">
        <v>27</v>
      </c>
      <c r="E102" s="18" t="s">
        <v>21</v>
      </c>
      <c r="F102" s="18" t="s">
        <v>38</v>
      </c>
      <c r="G102">
        <v>4</v>
      </c>
      <c r="H102">
        <v>933.03599999999994</v>
      </c>
      <c r="I102">
        <v>704.28800000000001</v>
      </c>
      <c r="J102">
        <v>914.99199999999996</v>
      </c>
      <c r="K102">
        <v>3732.1439999999998</v>
      </c>
    </row>
    <row r="103" spans="1:11" x14ac:dyDescent="0.25">
      <c r="A103">
        <v>182</v>
      </c>
      <c r="B103" s="17">
        <v>45670</v>
      </c>
      <c r="C103" s="18" t="s">
        <v>43</v>
      </c>
      <c r="D103" s="18" t="s">
        <v>27</v>
      </c>
      <c r="E103" s="18" t="s">
        <v>36</v>
      </c>
      <c r="F103" s="18" t="s">
        <v>32</v>
      </c>
      <c r="G103">
        <v>8</v>
      </c>
      <c r="H103">
        <v>792.88199999999995</v>
      </c>
      <c r="I103">
        <v>567.14400000000001</v>
      </c>
      <c r="J103">
        <v>1805.904</v>
      </c>
      <c r="K103">
        <v>6343.0559999999996</v>
      </c>
    </row>
    <row r="104" spans="1:11" x14ac:dyDescent="0.25">
      <c r="A104">
        <v>213</v>
      </c>
      <c r="B104" s="17">
        <v>45892</v>
      </c>
      <c r="C104" s="18" t="s">
        <v>35</v>
      </c>
      <c r="D104" s="18" t="s">
        <v>29</v>
      </c>
      <c r="E104" s="18" t="s">
        <v>24</v>
      </c>
      <c r="F104" s="18" t="s">
        <v>32</v>
      </c>
      <c r="G104">
        <v>1</v>
      </c>
      <c r="H104">
        <v>832.81799999999998</v>
      </c>
      <c r="I104">
        <v>607.97199999999998</v>
      </c>
      <c r="J104">
        <v>224.846</v>
      </c>
      <c r="K104">
        <v>832.81799999999998</v>
      </c>
    </row>
    <row r="105" spans="1:11" x14ac:dyDescent="0.25">
      <c r="A105">
        <v>233</v>
      </c>
      <c r="B105" s="17">
        <v>45726</v>
      </c>
      <c r="C105" s="18" t="s">
        <v>28</v>
      </c>
      <c r="D105" s="18" t="s">
        <v>20</v>
      </c>
      <c r="E105" s="18" t="s">
        <v>13</v>
      </c>
      <c r="F105" s="18" t="s">
        <v>32</v>
      </c>
      <c r="G105">
        <v>5</v>
      </c>
      <c r="H105">
        <v>469.82600000000002</v>
      </c>
      <c r="I105">
        <v>245.178</v>
      </c>
      <c r="J105">
        <v>1123.24</v>
      </c>
      <c r="K105">
        <v>2349.13</v>
      </c>
    </row>
    <row r="106" spans="1:11" x14ac:dyDescent="0.25">
      <c r="A106">
        <v>160</v>
      </c>
      <c r="B106" s="17">
        <v>45632</v>
      </c>
      <c r="C106" s="18" t="s">
        <v>15</v>
      </c>
      <c r="D106" s="18" t="s">
        <v>29</v>
      </c>
      <c r="E106" s="18" t="s">
        <v>13</v>
      </c>
      <c r="F106" s="18" t="s">
        <v>18</v>
      </c>
      <c r="G106">
        <v>3</v>
      </c>
      <c r="H106">
        <v>775.35599999999999</v>
      </c>
      <c r="I106">
        <v>551.11800000000005</v>
      </c>
      <c r="J106">
        <v>672.71400000000006</v>
      </c>
      <c r="K106">
        <v>2326.0680000000002</v>
      </c>
    </row>
    <row r="107" spans="1:11" x14ac:dyDescent="0.25">
      <c r="A107">
        <v>255</v>
      </c>
      <c r="B107" s="17">
        <v>45677</v>
      </c>
      <c r="C107" s="18" t="s">
        <v>40</v>
      </c>
      <c r="D107" s="18" t="s">
        <v>20</v>
      </c>
      <c r="E107" s="18" t="s">
        <v>17</v>
      </c>
      <c r="F107" s="18" t="s">
        <v>33</v>
      </c>
      <c r="G107">
        <v>2</v>
      </c>
      <c r="H107">
        <v>737.04399999999998</v>
      </c>
      <c r="I107">
        <v>514.86800000000005</v>
      </c>
      <c r="J107">
        <v>444.35199999999998</v>
      </c>
      <c r="K107">
        <v>1474.088</v>
      </c>
    </row>
    <row r="108" spans="1:11" x14ac:dyDescent="0.25">
      <c r="A108">
        <v>191</v>
      </c>
      <c r="B108" s="17">
        <v>45821</v>
      </c>
      <c r="C108" s="18" t="s">
        <v>34</v>
      </c>
      <c r="D108" s="18" t="s">
        <v>29</v>
      </c>
      <c r="E108" s="18" t="s">
        <v>13</v>
      </c>
      <c r="F108" s="18" t="s">
        <v>32</v>
      </c>
      <c r="G108">
        <v>1</v>
      </c>
      <c r="H108">
        <v>465.16</v>
      </c>
      <c r="I108">
        <v>247.77799999999999</v>
      </c>
      <c r="J108">
        <v>217.38200000000001</v>
      </c>
      <c r="K108">
        <v>465.16</v>
      </c>
    </row>
    <row r="109" spans="1:11" x14ac:dyDescent="0.25">
      <c r="A109">
        <v>3</v>
      </c>
      <c r="B109" s="17">
        <v>45911</v>
      </c>
      <c r="C109" s="18" t="s">
        <v>35</v>
      </c>
      <c r="D109" s="18" t="s">
        <v>16</v>
      </c>
      <c r="E109" s="18" t="s">
        <v>36</v>
      </c>
      <c r="F109" s="18" t="s">
        <v>37</v>
      </c>
      <c r="G109">
        <v>6</v>
      </c>
      <c r="H109">
        <v>763.12199999999996</v>
      </c>
      <c r="I109">
        <v>546.51800000000003</v>
      </c>
      <c r="J109">
        <v>1299.624</v>
      </c>
      <c r="K109">
        <v>4578.732</v>
      </c>
    </row>
    <row r="110" spans="1:11" x14ac:dyDescent="0.25">
      <c r="A110">
        <v>285</v>
      </c>
      <c r="B110" s="17">
        <v>45709</v>
      </c>
      <c r="C110" s="18" t="s">
        <v>35</v>
      </c>
      <c r="D110" s="18" t="s">
        <v>12</v>
      </c>
      <c r="E110" s="18" t="s">
        <v>36</v>
      </c>
      <c r="F110" s="18" t="s">
        <v>38</v>
      </c>
      <c r="G110">
        <v>4</v>
      </c>
      <c r="H110">
        <v>873.44200000000001</v>
      </c>
      <c r="I110">
        <v>657.67600000000004</v>
      </c>
      <c r="J110">
        <v>863.06399999999996</v>
      </c>
      <c r="K110">
        <v>3493.768</v>
      </c>
    </row>
    <row r="111" spans="1:11" x14ac:dyDescent="0.25">
      <c r="A111">
        <v>295</v>
      </c>
      <c r="B111" s="17">
        <v>45739</v>
      </c>
      <c r="C111" s="18" t="s">
        <v>42</v>
      </c>
      <c r="D111" s="18" t="s">
        <v>16</v>
      </c>
      <c r="E111" s="18" t="s">
        <v>13</v>
      </c>
      <c r="F111" s="18" t="s">
        <v>44</v>
      </c>
      <c r="G111">
        <v>8</v>
      </c>
      <c r="H111">
        <v>669.41800000000001</v>
      </c>
      <c r="I111">
        <v>453.93400000000003</v>
      </c>
      <c r="J111">
        <v>1723.8720000000001</v>
      </c>
      <c r="K111">
        <v>5355.3440000000001</v>
      </c>
    </row>
    <row r="112" spans="1:11" x14ac:dyDescent="0.25">
      <c r="A112">
        <v>297</v>
      </c>
      <c r="B112" s="17">
        <v>45966</v>
      </c>
      <c r="C112" s="18" t="s">
        <v>34</v>
      </c>
      <c r="D112" s="18" t="s">
        <v>27</v>
      </c>
      <c r="E112" s="18" t="s">
        <v>21</v>
      </c>
      <c r="F112" s="18" t="s">
        <v>22</v>
      </c>
      <c r="G112">
        <v>4</v>
      </c>
      <c r="H112">
        <v>710.26</v>
      </c>
      <c r="I112">
        <v>496.06</v>
      </c>
      <c r="J112">
        <v>856.8</v>
      </c>
      <c r="K112">
        <v>2841.04</v>
      </c>
    </row>
    <row r="113" spans="1:11" x14ac:dyDescent="0.25">
      <c r="A113">
        <v>79</v>
      </c>
      <c r="B113" s="17">
        <v>45959</v>
      </c>
      <c r="C113" s="18" t="s">
        <v>41</v>
      </c>
      <c r="D113" s="18" t="s">
        <v>16</v>
      </c>
      <c r="E113" s="18" t="s">
        <v>21</v>
      </c>
      <c r="F113" s="18" t="s">
        <v>44</v>
      </c>
      <c r="G113">
        <v>3</v>
      </c>
      <c r="H113">
        <v>945.00599999999997</v>
      </c>
      <c r="I113">
        <v>731.26400000000001</v>
      </c>
      <c r="J113">
        <v>641.226</v>
      </c>
      <c r="K113">
        <v>2835.018</v>
      </c>
    </row>
    <row r="114" spans="1:11" x14ac:dyDescent="0.25">
      <c r="A114">
        <v>298</v>
      </c>
      <c r="B114" s="17">
        <v>45853</v>
      </c>
      <c r="C114" s="18" t="s">
        <v>26</v>
      </c>
      <c r="D114" s="18" t="s">
        <v>16</v>
      </c>
      <c r="E114" s="18" t="s">
        <v>13</v>
      </c>
      <c r="F114" s="18" t="s">
        <v>44</v>
      </c>
      <c r="G114">
        <v>10</v>
      </c>
      <c r="H114">
        <v>627.24599999999998</v>
      </c>
      <c r="I114">
        <v>413.75799999999998</v>
      </c>
      <c r="J114">
        <v>2134.88</v>
      </c>
      <c r="K114">
        <v>6272.46</v>
      </c>
    </row>
    <row r="115" spans="1:11" x14ac:dyDescent="0.25">
      <c r="A115">
        <v>107</v>
      </c>
      <c r="B115" s="17">
        <v>45767</v>
      </c>
      <c r="C115" s="18" t="s">
        <v>39</v>
      </c>
      <c r="D115" s="18" t="s">
        <v>16</v>
      </c>
      <c r="E115" s="18" t="s">
        <v>21</v>
      </c>
      <c r="F115" s="18" t="s">
        <v>18</v>
      </c>
      <c r="G115">
        <v>7</v>
      </c>
      <c r="H115">
        <v>444.96600000000001</v>
      </c>
      <c r="I115">
        <v>231.934</v>
      </c>
      <c r="J115">
        <v>1491.2239999999999</v>
      </c>
      <c r="K115">
        <v>3114.7620000000002</v>
      </c>
    </row>
    <row r="116" spans="1:11" x14ac:dyDescent="0.25">
      <c r="A116">
        <v>97</v>
      </c>
      <c r="B116" s="17">
        <v>45726</v>
      </c>
      <c r="C116" s="18" t="s">
        <v>42</v>
      </c>
      <c r="D116" s="18" t="s">
        <v>27</v>
      </c>
      <c r="E116" s="18" t="s">
        <v>21</v>
      </c>
      <c r="F116" s="18" t="s">
        <v>18</v>
      </c>
      <c r="G116">
        <v>10</v>
      </c>
      <c r="H116">
        <v>644.16600000000005</v>
      </c>
      <c r="I116">
        <v>433.93599999999998</v>
      </c>
      <c r="J116">
        <v>2102.3000000000002</v>
      </c>
      <c r="K116">
        <v>6441.66</v>
      </c>
    </row>
    <row r="117" spans="1:11" x14ac:dyDescent="0.25">
      <c r="A117">
        <v>118</v>
      </c>
      <c r="B117" s="17">
        <v>45869</v>
      </c>
      <c r="C117" s="18" t="s">
        <v>43</v>
      </c>
      <c r="D117" s="18" t="s">
        <v>27</v>
      </c>
      <c r="E117" s="18" t="s">
        <v>24</v>
      </c>
      <c r="F117" s="18" t="s">
        <v>22</v>
      </c>
      <c r="G117">
        <v>7</v>
      </c>
      <c r="H117">
        <v>636.07000000000005</v>
      </c>
      <c r="I117">
        <v>428.38</v>
      </c>
      <c r="J117">
        <v>1453.83</v>
      </c>
      <c r="K117">
        <v>4452.49</v>
      </c>
    </row>
    <row r="118" spans="1:11" x14ac:dyDescent="0.25">
      <c r="A118">
        <v>77</v>
      </c>
      <c r="B118" s="17">
        <v>45886</v>
      </c>
      <c r="C118" s="18" t="s">
        <v>23</v>
      </c>
      <c r="D118" s="18" t="s">
        <v>29</v>
      </c>
      <c r="E118" s="18" t="s">
        <v>13</v>
      </c>
      <c r="F118" s="18" t="s">
        <v>30</v>
      </c>
      <c r="G118">
        <v>10</v>
      </c>
      <c r="H118">
        <v>624.58399999999995</v>
      </c>
      <c r="I118">
        <v>416.96800000000002</v>
      </c>
      <c r="J118">
        <v>2076.16</v>
      </c>
      <c r="K118">
        <v>6245.84</v>
      </c>
    </row>
    <row r="119" spans="1:11" x14ac:dyDescent="0.25">
      <c r="A119">
        <v>224</v>
      </c>
      <c r="B119" s="17">
        <v>45663</v>
      </c>
      <c r="C119" s="18" t="s">
        <v>40</v>
      </c>
      <c r="D119" s="18" t="s">
        <v>20</v>
      </c>
      <c r="E119" s="18" t="s">
        <v>36</v>
      </c>
      <c r="F119" s="18" t="s">
        <v>30</v>
      </c>
      <c r="G119">
        <v>2</v>
      </c>
      <c r="H119">
        <v>987.16200000000003</v>
      </c>
      <c r="I119">
        <v>780.33799999999997</v>
      </c>
      <c r="J119">
        <v>413.64800000000002</v>
      </c>
      <c r="K119">
        <v>1974.3240000000001</v>
      </c>
    </row>
    <row r="120" spans="1:11" x14ac:dyDescent="0.25">
      <c r="A120">
        <v>140</v>
      </c>
      <c r="B120" s="17">
        <v>45760</v>
      </c>
      <c r="C120" s="18" t="s">
        <v>19</v>
      </c>
      <c r="D120" s="18" t="s">
        <v>29</v>
      </c>
      <c r="E120" s="18" t="s">
        <v>17</v>
      </c>
      <c r="F120" s="18" t="s">
        <v>30</v>
      </c>
      <c r="G120">
        <v>1</v>
      </c>
      <c r="H120">
        <v>670.14</v>
      </c>
      <c r="I120">
        <v>463.70800000000003</v>
      </c>
      <c r="J120">
        <v>206.43199999999999</v>
      </c>
      <c r="K120">
        <v>670.14</v>
      </c>
    </row>
    <row r="121" spans="1:11" x14ac:dyDescent="0.25">
      <c r="A121">
        <v>242</v>
      </c>
      <c r="B121" s="17">
        <v>45718</v>
      </c>
      <c r="C121" s="18" t="s">
        <v>19</v>
      </c>
      <c r="D121" s="18" t="s">
        <v>12</v>
      </c>
      <c r="E121" s="18" t="s">
        <v>17</v>
      </c>
      <c r="F121" s="18" t="s">
        <v>32</v>
      </c>
      <c r="G121">
        <v>9</v>
      </c>
      <c r="H121">
        <v>566.59199999999998</v>
      </c>
      <c r="I121">
        <v>360.23399999999998</v>
      </c>
      <c r="J121">
        <v>1857.222</v>
      </c>
      <c r="K121">
        <v>5099.3280000000004</v>
      </c>
    </row>
    <row r="122" spans="1:11" x14ac:dyDescent="0.25">
      <c r="A122">
        <v>186</v>
      </c>
      <c r="B122" s="17">
        <v>45901</v>
      </c>
      <c r="C122" s="18" t="s">
        <v>40</v>
      </c>
      <c r="D122" s="18" t="s">
        <v>29</v>
      </c>
      <c r="E122" s="18" t="s">
        <v>13</v>
      </c>
      <c r="F122" s="18" t="s">
        <v>22</v>
      </c>
      <c r="G122">
        <v>5</v>
      </c>
      <c r="H122">
        <v>590.37599999999998</v>
      </c>
      <c r="I122">
        <v>384.54199999999997</v>
      </c>
      <c r="J122">
        <v>1029.17</v>
      </c>
      <c r="K122">
        <v>2951.88</v>
      </c>
    </row>
    <row r="123" spans="1:11" x14ac:dyDescent="0.25">
      <c r="A123">
        <v>74</v>
      </c>
      <c r="B123" s="17">
        <v>45638</v>
      </c>
      <c r="C123" s="18" t="s">
        <v>26</v>
      </c>
      <c r="D123" s="18" t="s">
        <v>20</v>
      </c>
      <c r="E123" s="18" t="s">
        <v>36</v>
      </c>
      <c r="F123" s="18" t="s">
        <v>14</v>
      </c>
      <c r="G123">
        <v>10</v>
      </c>
      <c r="H123">
        <v>777.928</v>
      </c>
      <c r="I123">
        <v>572.51800000000003</v>
      </c>
      <c r="J123">
        <v>2054.1</v>
      </c>
      <c r="K123">
        <v>7779.28</v>
      </c>
    </row>
    <row r="124" spans="1:11" x14ac:dyDescent="0.25">
      <c r="A124">
        <v>15</v>
      </c>
      <c r="B124" s="17">
        <v>45781</v>
      </c>
      <c r="C124" s="18" t="s">
        <v>39</v>
      </c>
      <c r="D124" s="18" t="s">
        <v>29</v>
      </c>
      <c r="E124" s="18" t="s">
        <v>21</v>
      </c>
      <c r="F124" s="18" t="s">
        <v>22</v>
      </c>
      <c r="G124">
        <v>9</v>
      </c>
      <c r="H124">
        <v>463.23399999999998</v>
      </c>
      <c r="I124">
        <v>260.226</v>
      </c>
      <c r="J124">
        <v>1827.0719999999999</v>
      </c>
      <c r="K124">
        <v>4169.1059999999998</v>
      </c>
    </row>
    <row r="125" spans="1:11" x14ac:dyDescent="0.25">
      <c r="A125">
        <v>203</v>
      </c>
      <c r="B125" s="17">
        <v>45867</v>
      </c>
      <c r="C125" s="18" t="s">
        <v>34</v>
      </c>
      <c r="D125" s="18" t="s">
        <v>16</v>
      </c>
      <c r="E125" s="18" t="s">
        <v>36</v>
      </c>
      <c r="F125" s="18" t="s">
        <v>18</v>
      </c>
      <c r="G125">
        <v>4</v>
      </c>
      <c r="H125">
        <v>772.96</v>
      </c>
      <c r="I125">
        <v>571.09799999999996</v>
      </c>
      <c r="J125">
        <v>807.44799999999998</v>
      </c>
      <c r="K125">
        <v>3091.84</v>
      </c>
    </row>
    <row r="126" spans="1:11" x14ac:dyDescent="0.25">
      <c r="A126">
        <v>109</v>
      </c>
      <c r="B126" s="17">
        <v>45916</v>
      </c>
      <c r="C126" s="18" t="s">
        <v>31</v>
      </c>
      <c r="D126" s="18" t="s">
        <v>27</v>
      </c>
      <c r="E126" s="18" t="s">
        <v>24</v>
      </c>
      <c r="F126" s="18" t="s">
        <v>22</v>
      </c>
      <c r="G126">
        <v>9</v>
      </c>
      <c r="H126">
        <v>850.90800000000002</v>
      </c>
      <c r="I126">
        <v>649.774</v>
      </c>
      <c r="J126">
        <v>1810.2059999999999</v>
      </c>
      <c r="K126">
        <v>7658.1719999999996</v>
      </c>
    </row>
    <row r="127" spans="1:11" x14ac:dyDescent="0.25">
      <c r="A127">
        <v>18</v>
      </c>
      <c r="B127" s="17">
        <v>45899</v>
      </c>
      <c r="C127" s="18" t="s">
        <v>34</v>
      </c>
      <c r="D127" s="18" t="s">
        <v>20</v>
      </c>
      <c r="E127" s="18" t="s">
        <v>36</v>
      </c>
      <c r="F127" s="18" t="s">
        <v>44</v>
      </c>
      <c r="G127">
        <v>9</v>
      </c>
      <c r="H127">
        <v>460.63600000000002</v>
      </c>
      <c r="I127">
        <v>260.44400000000002</v>
      </c>
      <c r="J127">
        <v>1801.7280000000001</v>
      </c>
      <c r="K127">
        <v>4145.7240000000002</v>
      </c>
    </row>
    <row r="128" spans="1:11" x14ac:dyDescent="0.25">
      <c r="A128">
        <v>236</v>
      </c>
      <c r="B128" s="17">
        <v>45830</v>
      </c>
      <c r="C128" s="18" t="s">
        <v>43</v>
      </c>
      <c r="D128" s="18" t="s">
        <v>27</v>
      </c>
      <c r="E128" s="18" t="s">
        <v>21</v>
      </c>
      <c r="F128" s="18" t="s">
        <v>25</v>
      </c>
      <c r="G128">
        <v>6</v>
      </c>
      <c r="H128">
        <v>700.91600000000005</v>
      </c>
      <c r="I128">
        <v>501.40600000000001</v>
      </c>
      <c r="J128">
        <v>1197.06</v>
      </c>
      <c r="K128">
        <v>4205.4960000000001</v>
      </c>
    </row>
    <row r="129" spans="1:11" x14ac:dyDescent="0.25">
      <c r="A129">
        <v>70</v>
      </c>
      <c r="B129" s="17">
        <v>45795</v>
      </c>
      <c r="C129" s="18" t="s">
        <v>42</v>
      </c>
      <c r="D129" s="18" t="s">
        <v>12</v>
      </c>
      <c r="E129" s="18" t="s">
        <v>13</v>
      </c>
      <c r="F129" s="18" t="s">
        <v>18</v>
      </c>
      <c r="G129">
        <v>7</v>
      </c>
      <c r="H129">
        <v>971.99400000000003</v>
      </c>
      <c r="I129">
        <v>772.678</v>
      </c>
      <c r="J129">
        <v>1395.212</v>
      </c>
      <c r="K129">
        <v>6803.9579999999996</v>
      </c>
    </row>
    <row r="130" spans="1:11" x14ac:dyDescent="0.25">
      <c r="A130">
        <v>121</v>
      </c>
      <c r="B130" s="17">
        <v>45789</v>
      </c>
      <c r="C130" s="18" t="s">
        <v>40</v>
      </c>
      <c r="D130" s="18" t="s">
        <v>27</v>
      </c>
      <c r="E130" s="18" t="s">
        <v>24</v>
      </c>
      <c r="F130" s="18" t="s">
        <v>33</v>
      </c>
      <c r="G130">
        <v>6</v>
      </c>
      <c r="H130">
        <v>478.46199999999999</v>
      </c>
      <c r="I130">
        <v>279.82400000000001</v>
      </c>
      <c r="J130">
        <v>1191.828</v>
      </c>
      <c r="K130">
        <v>2870.7719999999999</v>
      </c>
    </row>
    <row r="131" spans="1:11" x14ac:dyDescent="0.25">
      <c r="A131">
        <v>99</v>
      </c>
      <c r="B131" s="17">
        <v>45682</v>
      </c>
      <c r="C131" s="18" t="s">
        <v>42</v>
      </c>
      <c r="D131" s="18" t="s">
        <v>16</v>
      </c>
      <c r="E131" s="18" t="s">
        <v>21</v>
      </c>
      <c r="F131" s="18" t="s">
        <v>25</v>
      </c>
      <c r="G131">
        <v>7</v>
      </c>
      <c r="H131">
        <v>798.68200000000002</v>
      </c>
      <c r="I131">
        <v>600.59</v>
      </c>
      <c r="J131">
        <v>1386.644</v>
      </c>
      <c r="K131">
        <v>5590.7740000000003</v>
      </c>
    </row>
    <row r="132" spans="1:11" x14ac:dyDescent="0.25">
      <c r="A132">
        <v>129</v>
      </c>
      <c r="B132" s="17">
        <v>45879</v>
      </c>
      <c r="C132" s="18" t="s">
        <v>31</v>
      </c>
      <c r="D132" s="18" t="s">
        <v>20</v>
      </c>
      <c r="E132" s="18" t="s">
        <v>36</v>
      </c>
      <c r="F132" s="18" t="s">
        <v>30</v>
      </c>
      <c r="G132">
        <v>8</v>
      </c>
      <c r="H132">
        <v>638.55799999999999</v>
      </c>
      <c r="I132">
        <v>443.13200000000001</v>
      </c>
      <c r="J132">
        <v>1563.4079999999999</v>
      </c>
      <c r="K132">
        <v>5108.4639999999999</v>
      </c>
    </row>
    <row r="133" spans="1:11" x14ac:dyDescent="0.25">
      <c r="A133">
        <v>14</v>
      </c>
      <c r="B133" s="17">
        <v>45826</v>
      </c>
      <c r="C133" s="18" t="s">
        <v>39</v>
      </c>
      <c r="D133" s="18" t="s">
        <v>12</v>
      </c>
      <c r="E133" s="18" t="s">
        <v>24</v>
      </c>
      <c r="F133" s="18" t="s">
        <v>18</v>
      </c>
      <c r="G133">
        <v>1</v>
      </c>
      <c r="H133">
        <v>793.49800000000005</v>
      </c>
      <c r="I133">
        <v>598.17200000000003</v>
      </c>
      <c r="J133">
        <v>195.32599999999999</v>
      </c>
      <c r="K133">
        <v>793.49800000000005</v>
      </c>
    </row>
    <row r="134" spans="1:11" x14ac:dyDescent="0.25">
      <c r="A134">
        <v>8</v>
      </c>
      <c r="B134" s="17">
        <v>45740</v>
      </c>
      <c r="C134" s="18" t="s">
        <v>39</v>
      </c>
      <c r="D134" s="18" t="s">
        <v>12</v>
      </c>
      <c r="E134" s="18" t="s">
        <v>17</v>
      </c>
      <c r="F134" s="18" t="s">
        <v>14</v>
      </c>
      <c r="G134">
        <v>7</v>
      </c>
      <c r="H134">
        <v>585.26599999999996</v>
      </c>
      <c r="I134">
        <v>391.01799999999997</v>
      </c>
      <c r="J134">
        <v>1359.7360000000001</v>
      </c>
      <c r="K134">
        <v>4096.8620000000001</v>
      </c>
    </row>
    <row r="135" spans="1:11" x14ac:dyDescent="0.25">
      <c r="A135">
        <v>165</v>
      </c>
      <c r="B135" s="17">
        <v>45894</v>
      </c>
      <c r="C135" s="18" t="s">
        <v>34</v>
      </c>
      <c r="D135" s="18" t="s">
        <v>29</v>
      </c>
      <c r="E135" s="18" t="s">
        <v>24</v>
      </c>
      <c r="F135" s="18" t="s">
        <v>44</v>
      </c>
      <c r="G135">
        <v>5</v>
      </c>
      <c r="H135">
        <v>628.50400000000002</v>
      </c>
      <c r="I135">
        <v>434.67599999999999</v>
      </c>
      <c r="J135">
        <v>969.14</v>
      </c>
      <c r="K135">
        <v>3142.52</v>
      </c>
    </row>
    <row r="136" spans="1:11" x14ac:dyDescent="0.25">
      <c r="A136">
        <v>80</v>
      </c>
      <c r="B136" s="17">
        <v>45978</v>
      </c>
      <c r="C136" s="18" t="s">
        <v>42</v>
      </c>
      <c r="D136" s="18" t="s">
        <v>12</v>
      </c>
      <c r="E136" s="18" t="s">
        <v>13</v>
      </c>
      <c r="F136" s="18" t="s">
        <v>37</v>
      </c>
      <c r="G136">
        <v>6</v>
      </c>
      <c r="H136">
        <v>649.05200000000002</v>
      </c>
      <c r="I136">
        <v>456.988</v>
      </c>
      <c r="J136">
        <v>1152.384</v>
      </c>
      <c r="K136">
        <v>3894.3119999999999</v>
      </c>
    </row>
    <row r="137" spans="1:11" x14ac:dyDescent="0.25">
      <c r="A137">
        <v>122</v>
      </c>
      <c r="B137" s="17">
        <v>45929</v>
      </c>
      <c r="C137" s="18" t="s">
        <v>42</v>
      </c>
      <c r="D137" s="18" t="s">
        <v>20</v>
      </c>
      <c r="E137" s="18" t="s">
        <v>13</v>
      </c>
      <c r="F137" s="18" t="s">
        <v>30</v>
      </c>
      <c r="G137">
        <v>2</v>
      </c>
      <c r="H137">
        <v>421.60599999999999</v>
      </c>
      <c r="I137">
        <v>230.25399999999999</v>
      </c>
      <c r="J137">
        <v>382.70400000000001</v>
      </c>
      <c r="K137">
        <v>843.21199999999999</v>
      </c>
    </row>
    <row r="138" spans="1:11" x14ac:dyDescent="0.25">
      <c r="A138">
        <v>89</v>
      </c>
      <c r="B138" s="17">
        <v>45867</v>
      </c>
      <c r="C138" s="18" t="s">
        <v>28</v>
      </c>
      <c r="D138" s="18" t="s">
        <v>12</v>
      </c>
      <c r="E138" s="18" t="s">
        <v>24</v>
      </c>
      <c r="F138" s="18" t="s">
        <v>33</v>
      </c>
      <c r="G138">
        <v>8</v>
      </c>
      <c r="H138">
        <v>893.01199999999994</v>
      </c>
      <c r="I138">
        <v>702.21799999999996</v>
      </c>
      <c r="J138">
        <v>1526.3520000000001</v>
      </c>
      <c r="K138">
        <v>7144.0959999999995</v>
      </c>
    </row>
    <row r="139" spans="1:11" x14ac:dyDescent="0.25">
      <c r="A139">
        <v>247</v>
      </c>
      <c r="B139" s="17">
        <v>45908</v>
      </c>
      <c r="C139" s="18" t="s">
        <v>40</v>
      </c>
      <c r="D139" s="18" t="s">
        <v>20</v>
      </c>
      <c r="E139" s="18" t="s">
        <v>24</v>
      </c>
      <c r="F139" s="18" t="s">
        <v>30</v>
      </c>
      <c r="G139">
        <v>3</v>
      </c>
      <c r="H139">
        <v>919.51199999999994</v>
      </c>
      <c r="I139">
        <v>731.37400000000002</v>
      </c>
      <c r="J139">
        <v>564.41399999999999</v>
      </c>
      <c r="K139">
        <v>2758.5360000000001</v>
      </c>
    </row>
    <row r="140" spans="1:11" x14ac:dyDescent="0.25">
      <c r="A140">
        <v>132</v>
      </c>
      <c r="B140" s="17">
        <v>45892</v>
      </c>
      <c r="C140" s="18" t="s">
        <v>23</v>
      </c>
      <c r="D140" s="18" t="s">
        <v>20</v>
      </c>
      <c r="E140" s="18" t="s">
        <v>13</v>
      </c>
      <c r="F140" s="18" t="s">
        <v>18</v>
      </c>
      <c r="G140">
        <v>9</v>
      </c>
      <c r="H140">
        <v>527.76400000000001</v>
      </c>
      <c r="I140">
        <v>340.97199999999998</v>
      </c>
      <c r="J140">
        <v>1681.1279999999999</v>
      </c>
      <c r="K140">
        <v>4749.8760000000002</v>
      </c>
    </row>
    <row r="141" spans="1:11" x14ac:dyDescent="0.25">
      <c r="A141">
        <v>106</v>
      </c>
      <c r="B141" s="17">
        <v>45906</v>
      </c>
      <c r="C141" s="18" t="s">
        <v>41</v>
      </c>
      <c r="D141" s="18" t="s">
        <v>20</v>
      </c>
      <c r="E141" s="18" t="s">
        <v>13</v>
      </c>
      <c r="F141" s="18" t="s">
        <v>38</v>
      </c>
      <c r="G141">
        <v>8</v>
      </c>
      <c r="H141">
        <v>737.87199999999996</v>
      </c>
      <c r="I141">
        <v>551.33199999999999</v>
      </c>
      <c r="J141">
        <v>1492.32</v>
      </c>
      <c r="K141">
        <v>5902.9759999999997</v>
      </c>
    </row>
    <row r="142" spans="1:11" x14ac:dyDescent="0.25">
      <c r="A142">
        <v>27</v>
      </c>
      <c r="B142" s="17">
        <v>45966</v>
      </c>
      <c r="C142" s="18" t="s">
        <v>28</v>
      </c>
      <c r="D142" s="18" t="s">
        <v>20</v>
      </c>
      <c r="E142" s="18" t="s">
        <v>21</v>
      </c>
      <c r="F142" s="18" t="s">
        <v>44</v>
      </c>
      <c r="G142">
        <v>2</v>
      </c>
      <c r="H142">
        <v>692.50800000000004</v>
      </c>
      <c r="I142">
        <v>506.166</v>
      </c>
      <c r="J142">
        <v>372.68400000000003</v>
      </c>
      <c r="K142">
        <v>1385.0160000000001</v>
      </c>
    </row>
    <row r="143" spans="1:11" x14ac:dyDescent="0.25">
      <c r="A143">
        <v>10</v>
      </c>
      <c r="B143" s="17">
        <v>45847</v>
      </c>
      <c r="C143" s="18" t="s">
        <v>34</v>
      </c>
      <c r="D143" s="18" t="s">
        <v>12</v>
      </c>
      <c r="E143" s="18" t="s">
        <v>13</v>
      </c>
      <c r="F143" s="18" t="s">
        <v>18</v>
      </c>
      <c r="G143">
        <v>3</v>
      </c>
      <c r="H143">
        <v>431.61399999999998</v>
      </c>
      <c r="I143">
        <v>245.42599999999999</v>
      </c>
      <c r="J143">
        <v>558.56399999999996</v>
      </c>
      <c r="K143">
        <v>1294.8420000000001</v>
      </c>
    </row>
    <row r="144" spans="1:11" x14ac:dyDescent="0.25">
      <c r="A144">
        <v>141</v>
      </c>
      <c r="B144" s="17">
        <v>45787</v>
      </c>
      <c r="C144" s="18" t="s">
        <v>31</v>
      </c>
      <c r="D144" s="18" t="s">
        <v>12</v>
      </c>
      <c r="E144" s="18" t="s">
        <v>36</v>
      </c>
      <c r="F144" s="18" t="s">
        <v>25</v>
      </c>
      <c r="G144">
        <v>6</v>
      </c>
      <c r="H144">
        <v>719.31399999999996</v>
      </c>
      <c r="I144">
        <v>533.14599999999996</v>
      </c>
      <c r="J144">
        <v>1117.008</v>
      </c>
      <c r="K144">
        <v>4315.884</v>
      </c>
    </row>
    <row r="145" spans="1:11" x14ac:dyDescent="0.25">
      <c r="A145">
        <v>131</v>
      </c>
      <c r="B145" s="17">
        <v>45830</v>
      </c>
      <c r="C145" s="18" t="s">
        <v>26</v>
      </c>
      <c r="D145" s="18" t="s">
        <v>12</v>
      </c>
      <c r="E145" s="18" t="s">
        <v>17</v>
      </c>
      <c r="F145" s="18" t="s">
        <v>18</v>
      </c>
      <c r="G145">
        <v>9</v>
      </c>
      <c r="H145">
        <v>412.846</v>
      </c>
      <c r="I145">
        <v>227.17599999999999</v>
      </c>
      <c r="J145">
        <v>1671.03</v>
      </c>
      <c r="K145">
        <v>3715.614</v>
      </c>
    </row>
    <row r="146" spans="1:11" x14ac:dyDescent="0.25">
      <c r="A146">
        <v>250</v>
      </c>
      <c r="B146" s="17">
        <v>45835</v>
      </c>
      <c r="C146" s="18" t="s">
        <v>40</v>
      </c>
      <c r="D146" s="18" t="s">
        <v>27</v>
      </c>
      <c r="E146" s="18" t="s">
        <v>36</v>
      </c>
      <c r="F146" s="18" t="s">
        <v>25</v>
      </c>
      <c r="G146">
        <v>1</v>
      </c>
      <c r="H146">
        <v>732.73599999999999</v>
      </c>
      <c r="I146">
        <v>547.46</v>
      </c>
      <c r="J146">
        <v>185.27600000000001</v>
      </c>
      <c r="K146">
        <v>732.73599999999999</v>
      </c>
    </row>
    <row r="147" spans="1:11" x14ac:dyDescent="0.25">
      <c r="A147">
        <v>113</v>
      </c>
      <c r="B147" s="17">
        <v>45676</v>
      </c>
      <c r="C147" s="18" t="s">
        <v>34</v>
      </c>
      <c r="D147" s="18" t="s">
        <v>27</v>
      </c>
      <c r="E147" s="18" t="s">
        <v>13</v>
      </c>
      <c r="F147" s="18" t="s">
        <v>33</v>
      </c>
      <c r="G147">
        <v>3</v>
      </c>
      <c r="H147">
        <v>424.77</v>
      </c>
      <c r="I147">
        <v>242.83</v>
      </c>
      <c r="J147">
        <v>545.82000000000005</v>
      </c>
      <c r="K147">
        <v>1274.31</v>
      </c>
    </row>
    <row r="148" spans="1:11" x14ac:dyDescent="0.25">
      <c r="A148">
        <v>5</v>
      </c>
      <c r="B148" s="17">
        <v>45939</v>
      </c>
      <c r="C148" s="18" t="s">
        <v>31</v>
      </c>
      <c r="D148" s="18" t="s">
        <v>16</v>
      </c>
      <c r="E148" s="18" t="s">
        <v>17</v>
      </c>
      <c r="F148" s="18" t="s">
        <v>38</v>
      </c>
      <c r="G148">
        <v>4</v>
      </c>
      <c r="H148">
        <v>694.42</v>
      </c>
      <c r="I148">
        <v>512.904</v>
      </c>
      <c r="J148">
        <v>726.06399999999996</v>
      </c>
      <c r="K148">
        <v>2777.68</v>
      </c>
    </row>
    <row r="149" spans="1:11" x14ac:dyDescent="0.25">
      <c r="A149">
        <v>223</v>
      </c>
      <c r="B149" s="17">
        <v>45982</v>
      </c>
      <c r="C149" s="18" t="s">
        <v>28</v>
      </c>
      <c r="D149" s="18" t="s">
        <v>29</v>
      </c>
      <c r="E149" s="18" t="s">
        <v>13</v>
      </c>
      <c r="F149" s="18" t="s">
        <v>44</v>
      </c>
      <c r="G149">
        <v>7</v>
      </c>
      <c r="H149">
        <v>431.99799999999999</v>
      </c>
      <c r="I149">
        <v>253.316</v>
      </c>
      <c r="J149">
        <v>1250.7739999999999</v>
      </c>
      <c r="K149">
        <v>3023.9859999999999</v>
      </c>
    </row>
    <row r="150" spans="1:11" x14ac:dyDescent="0.25">
      <c r="A150">
        <v>180</v>
      </c>
      <c r="B150" s="17">
        <v>45849</v>
      </c>
      <c r="C150" s="18" t="s">
        <v>41</v>
      </c>
      <c r="D150" s="18" t="s">
        <v>16</v>
      </c>
      <c r="E150" s="18" t="s">
        <v>21</v>
      </c>
      <c r="F150" s="18" t="s">
        <v>18</v>
      </c>
      <c r="G150">
        <v>8</v>
      </c>
      <c r="H150">
        <v>382.01799999999997</v>
      </c>
      <c r="I150">
        <v>204.774</v>
      </c>
      <c r="J150">
        <v>1417.952</v>
      </c>
      <c r="K150">
        <v>3056.1439999999998</v>
      </c>
    </row>
    <row r="151" spans="1:11" x14ac:dyDescent="0.25">
      <c r="A151">
        <v>42</v>
      </c>
      <c r="B151" s="17">
        <v>45876</v>
      </c>
      <c r="C151" s="18" t="s">
        <v>28</v>
      </c>
      <c r="D151" s="18" t="s">
        <v>12</v>
      </c>
      <c r="E151" s="18" t="s">
        <v>13</v>
      </c>
      <c r="F151" s="18" t="s">
        <v>37</v>
      </c>
      <c r="G151">
        <v>2</v>
      </c>
      <c r="H151">
        <v>424.86599999999999</v>
      </c>
      <c r="I151">
        <v>248.26599999999999</v>
      </c>
      <c r="J151">
        <v>353.2</v>
      </c>
      <c r="K151">
        <v>849.73199999999997</v>
      </c>
    </row>
    <row r="152" spans="1:11" x14ac:dyDescent="0.25">
      <c r="A152">
        <v>193</v>
      </c>
      <c r="B152" s="17">
        <v>45893</v>
      </c>
      <c r="C152" s="18" t="s">
        <v>15</v>
      </c>
      <c r="D152" s="18" t="s">
        <v>29</v>
      </c>
      <c r="E152" s="18" t="s">
        <v>21</v>
      </c>
      <c r="F152" s="18" t="s">
        <v>33</v>
      </c>
      <c r="G152">
        <v>1</v>
      </c>
      <c r="H152">
        <v>623.30200000000002</v>
      </c>
      <c r="I152">
        <v>447.666</v>
      </c>
      <c r="J152">
        <v>175.636</v>
      </c>
      <c r="K152">
        <v>623.30200000000002</v>
      </c>
    </row>
    <row r="153" spans="1:11" x14ac:dyDescent="0.25">
      <c r="A153">
        <v>153</v>
      </c>
      <c r="B153" s="17">
        <v>45851</v>
      </c>
      <c r="C153" s="18" t="s">
        <v>15</v>
      </c>
      <c r="D153" s="18" t="s">
        <v>12</v>
      </c>
      <c r="E153" s="18" t="s">
        <v>17</v>
      </c>
      <c r="F153" s="18" t="s">
        <v>30</v>
      </c>
      <c r="G153">
        <v>6</v>
      </c>
      <c r="H153">
        <v>355.89800000000002</v>
      </c>
      <c r="I153">
        <v>180.328</v>
      </c>
      <c r="J153">
        <v>1053.42</v>
      </c>
      <c r="K153">
        <v>2135.3879999999999</v>
      </c>
    </row>
    <row r="154" spans="1:11" x14ac:dyDescent="0.25">
      <c r="A154">
        <v>243</v>
      </c>
      <c r="B154" s="17">
        <v>45926</v>
      </c>
      <c r="C154" s="18" t="s">
        <v>40</v>
      </c>
      <c r="D154" s="18" t="s">
        <v>29</v>
      </c>
      <c r="E154" s="18" t="s">
        <v>13</v>
      </c>
      <c r="F154" s="18" t="s">
        <v>32</v>
      </c>
      <c r="G154">
        <v>6</v>
      </c>
      <c r="H154">
        <v>566.79200000000003</v>
      </c>
      <c r="I154">
        <v>393.33</v>
      </c>
      <c r="J154">
        <v>1040.7719999999999</v>
      </c>
      <c r="K154">
        <v>3400.752</v>
      </c>
    </row>
    <row r="155" spans="1:11" x14ac:dyDescent="0.25">
      <c r="A155">
        <v>214</v>
      </c>
      <c r="B155" s="17">
        <v>45935</v>
      </c>
      <c r="C155" s="18" t="s">
        <v>15</v>
      </c>
      <c r="D155" s="18" t="s">
        <v>29</v>
      </c>
      <c r="E155" s="18" t="s">
        <v>21</v>
      </c>
      <c r="F155" s="18" t="s">
        <v>25</v>
      </c>
      <c r="G155">
        <v>10</v>
      </c>
      <c r="H155">
        <v>516.40599999999995</v>
      </c>
      <c r="I155">
        <v>343.82799999999997</v>
      </c>
      <c r="J155">
        <v>1725.78</v>
      </c>
      <c r="K155">
        <v>5164.0600000000004</v>
      </c>
    </row>
    <row r="156" spans="1:11" x14ac:dyDescent="0.25">
      <c r="A156">
        <v>253</v>
      </c>
      <c r="B156" s="17">
        <v>45714</v>
      </c>
      <c r="C156" s="18" t="s">
        <v>23</v>
      </c>
      <c r="D156" s="18" t="s">
        <v>12</v>
      </c>
      <c r="E156" s="18" t="s">
        <v>17</v>
      </c>
      <c r="F156" s="18" t="s">
        <v>22</v>
      </c>
      <c r="G156">
        <v>9</v>
      </c>
      <c r="H156">
        <v>561.77</v>
      </c>
      <c r="I156">
        <v>389.64</v>
      </c>
      <c r="J156">
        <v>1549.17</v>
      </c>
      <c r="K156">
        <v>5055.93</v>
      </c>
    </row>
    <row r="157" spans="1:11" x14ac:dyDescent="0.25">
      <c r="A157">
        <v>221</v>
      </c>
      <c r="B157" s="17">
        <v>45763</v>
      </c>
      <c r="C157" s="18" t="s">
        <v>15</v>
      </c>
      <c r="D157" s="18" t="s">
        <v>29</v>
      </c>
      <c r="E157" s="18" t="s">
        <v>24</v>
      </c>
      <c r="F157" s="18" t="s">
        <v>30</v>
      </c>
      <c r="G157">
        <v>2</v>
      </c>
      <c r="H157">
        <v>475.42200000000003</v>
      </c>
      <c r="I157">
        <v>304.79399999999998</v>
      </c>
      <c r="J157">
        <v>341.25599999999997</v>
      </c>
      <c r="K157">
        <v>950.84400000000005</v>
      </c>
    </row>
    <row r="158" spans="1:11" x14ac:dyDescent="0.25">
      <c r="A158">
        <v>169</v>
      </c>
      <c r="B158" s="17">
        <v>45643</v>
      </c>
      <c r="C158" s="18" t="s">
        <v>11</v>
      </c>
      <c r="D158" s="18" t="s">
        <v>27</v>
      </c>
      <c r="E158" s="18" t="s">
        <v>17</v>
      </c>
      <c r="F158" s="18" t="s">
        <v>44</v>
      </c>
      <c r="G158">
        <v>10</v>
      </c>
      <c r="H158">
        <v>616.82000000000005</v>
      </c>
      <c r="I158">
        <v>446.45600000000002</v>
      </c>
      <c r="J158">
        <v>1703.64</v>
      </c>
      <c r="K158">
        <v>6168.2</v>
      </c>
    </row>
    <row r="159" spans="1:11" x14ac:dyDescent="0.25">
      <c r="A159">
        <v>50</v>
      </c>
      <c r="B159" s="17">
        <v>45918</v>
      </c>
      <c r="C159" s="18" t="s">
        <v>35</v>
      </c>
      <c r="D159" s="18" t="s">
        <v>16</v>
      </c>
      <c r="E159" s="18" t="s">
        <v>21</v>
      </c>
      <c r="F159" s="18" t="s">
        <v>22</v>
      </c>
      <c r="G159">
        <v>3</v>
      </c>
      <c r="H159">
        <v>829.41800000000001</v>
      </c>
      <c r="I159">
        <v>660.41200000000003</v>
      </c>
      <c r="J159">
        <v>507.01799999999997</v>
      </c>
      <c r="K159">
        <v>2488.2539999999999</v>
      </c>
    </row>
    <row r="160" spans="1:11" x14ac:dyDescent="0.25">
      <c r="A160">
        <v>25</v>
      </c>
      <c r="B160" s="17">
        <v>45918</v>
      </c>
      <c r="C160" s="18" t="s">
        <v>42</v>
      </c>
      <c r="D160" s="18" t="s">
        <v>27</v>
      </c>
      <c r="E160" s="18" t="s">
        <v>21</v>
      </c>
      <c r="F160" s="18" t="s">
        <v>44</v>
      </c>
      <c r="G160">
        <v>7</v>
      </c>
      <c r="H160">
        <v>699.00199999999995</v>
      </c>
      <c r="I160">
        <v>530.33199999999999</v>
      </c>
      <c r="J160">
        <v>1180.69</v>
      </c>
      <c r="K160">
        <v>4893.0140000000001</v>
      </c>
    </row>
    <row r="161" spans="1:11" x14ac:dyDescent="0.25">
      <c r="A161">
        <v>189</v>
      </c>
      <c r="B161" s="17">
        <v>45861</v>
      </c>
      <c r="C161" s="18" t="s">
        <v>39</v>
      </c>
      <c r="D161" s="18" t="s">
        <v>29</v>
      </c>
      <c r="E161" s="18" t="s">
        <v>36</v>
      </c>
      <c r="F161" s="18" t="s">
        <v>33</v>
      </c>
      <c r="G161">
        <v>2</v>
      </c>
      <c r="H161">
        <v>394.572</v>
      </c>
      <c r="I161">
        <v>226.84</v>
      </c>
      <c r="J161">
        <v>335.464</v>
      </c>
      <c r="K161">
        <v>789.14400000000001</v>
      </c>
    </row>
    <row r="162" spans="1:11" x14ac:dyDescent="0.25">
      <c r="A162">
        <v>48</v>
      </c>
      <c r="B162" s="17">
        <v>45656</v>
      </c>
      <c r="C162" s="18" t="s">
        <v>42</v>
      </c>
      <c r="D162" s="18" t="s">
        <v>16</v>
      </c>
      <c r="E162" s="18" t="s">
        <v>36</v>
      </c>
      <c r="F162" s="18" t="s">
        <v>30</v>
      </c>
      <c r="G162">
        <v>4</v>
      </c>
      <c r="H162">
        <v>427.91399999999999</v>
      </c>
      <c r="I162">
        <v>260.44600000000003</v>
      </c>
      <c r="J162">
        <v>669.87199999999996</v>
      </c>
      <c r="K162">
        <v>1711.6559999999999</v>
      </c>
    </row>
    <row r="163" spans="1:11" x14ac:dyDescent="0.25">
      <c r="A163">
        <v>32</v>
      </c>
      <c r="B163" s="17">
        <v>45947</v>
      </c>
      <c r="C163" s="18" t="s">
        <v>39</v>
      </c>
      <c r="D163" s="18" t="s">
        <v>27</v>
      </c>
      <c r="E163" s="18" t="s">
        <v>21</v>
      </c>
      <c r="F163" s="18" t="s">
        <v>25</v>
      </c>
      <c r="G163">
        <v>9</v>
      </c>
      <c r="H163">
        <v>766.89599999999996</v>
      </c>
      <c r="I163">
        <v>599.50599999999997</v>
      </c>
      <c r="J163">
        <v>1506.51</v>
      </c>
      <c r="K163">
        <v>6902.0640000000003</v>
      </c>
    </row>
    <row r="164" spans="1:11" x14ac:dyDescent="0.25">
      <c r="A164">
        <v>226</v>
      </c>
      <c r="B164" s="17">
        <v>45944</v>
      </c>
      <c r="C164" s="18" t="s">
        <v>19</v>
      </c>
      <c r="D164" s="18" t="s">
        <v>29</v>
      </c>
      <c r="E164" s="18" t="s">
        <v>24</v>
      </c>
      <c r="F164" s="18" t="s">
        <v>18</v>
      </c>
      <c r="G164">
        <v>3</v>
      </c>
      <c r="H164">
        <v>593.18600000000004</v>
      </c>
      <c r="I164">
        <v>430.142</v>
      </c>
      <c r="J164">
        <v>489.13200000000001</v>
      </c>
      <c r="K164">
        <v>1779.558</v>
      </c>
    </row>
    <row r="165" spans="1:11" x14ac:dyDescent="0.25">
      <c r="A165">
        <v>228</v>
      </c>
      <c r="B165" s="17">
        <v>45784</v>
      </c>
      <c r="C165" s="18" t="s">
        <v>39</v>
      </c>
      <c r="D165" s="18" t="s">
        <v>29</v>
      </c>
      <c r="E165" s="18" t="s">
        <v>13</v>
      </c>
      <c r="F165" s="18" t="s">
        <v>25</v>
      </c>
      <c r="G165">
        <v>6</v>
      </c>
      <c r="H165">
        <v>513.01199999999994</v>
      </c>
      <c r="I165">
        <v>350.35199999999998</v>
      </c>
      <c r="J165">
        <v>975.96</v>
      </c>
      <c r="K165">
        <v>3078.0720000000001</v>
      </c>
    </row>
    <row r="166" spans="1:11" x14ac:dyDescent="0.25">
      <c r="A166">
        <v>181</v>
      </c>
      <c r="B166" s="17">
        <v>45831</v>
      </c>
      <c r="C166" s="18" t="s">
        <v>34</v>
      </c>
      <c r="D166" s="18" t="s">
        <v>27</v>
      </c>
      <c r="E166" s="18" t="s">
        <v>21</v>
      </c>
      <c r="F166" s="18" t="s">
        <v>30</v>
      </c>
      <c r="G166">
        <v>5</v>
      </c>
      <c r="H166">
        <v>596.62</v>
      </c>
      <c r="I166">
        <v>434.54</v>
      </c>
      <c r="J166">
        <v>810.4</v>
      </c>
      <c r="K166">
        <v>2983.1</v>
      </c>
    </row>
    <row r="167" spans="1:11" x14ac:dyDescent="0.25">
      <c r="A167">
        <v>67</v>
      </c>
      <c r="B167" s="17">
        <v>45669</v>
      </c>
      <c r="C167" s="18" t="s">
        <v>26</v>
      </c>
      <c r="D167" s="18" t="s">
        <v>20</v>
      </c>
      <c r="E167" s="18" t="s">
        <v>36</v>
      </c>
      <c r="F167" s="18" t="s">
        <v>32</v>
      </c>
      <c r="G167">
        <v>1</v>
      </c>
      <c r="H167">
        <v>420.96</v>
      </c>
      <c r="I167">
        <v>259.30399999999997</v>
      </c>
      <c r="J167">
        <v>161.65600000000001</v>
      </c>
      <c r="K167">
        <v>420.96</v>
      </c>
    </row>
    <row r="168" spans="1:11" x14ac:dyDescent="0.25">
      <c r="A168">
        <v>23</v>
      </c>
      <c r="B168" s="17">
        <v>45900</v>
      </c>
      <c r="C168" s="18" t="s">
        <v>43</v>
      </c>
      <c r="D168" s="18" t="s">
        <v>12</v>
      </c>
      <c r="E168" s="18" t="s">
        <v>17</v>
      </c>
      <c r="F168" s="18" t="s">
        <v>25</v>
      </c>
      <c r="G168">
        <v>10</v>
      </c>
      <c r="H168">
        <v>579.19799999999998</v>
      </c>
      <c r="I168">
        <v>419.95800000000003</v>
      </c>
      <c r="J168">
        <v>1592.4</v>
      </c>
      <c r="K168">
        <v>5791.98</v>
      </c>
    </row>
    <row r="169" spans="1:11" x14ac:dyDescent="0.25">
      <c r="A169">
        <v>73</v>
      </c>
      <c r="B169" s="17">
        <v>45779</v>
      </c>
      <c r="C169" s="18" t="s">
        <v>19</v>
      </c>
      <c r="D169" s="18" t="s">
        <v>27</v>
      </c>
      <c r="E169" s="18" t="s">
        <v>17</v>
      </c>
      <c r="F169" s="18" t="s">
        <v>14</v>
      </c>
      <c r="G169">
        <v>2</v>
      </c>
      <c r="H169">
        <v>359.62799999999999</v>
      </c>
      <c r="I169">
        <v>201.56800000000001</v>
      </c>
      <c r="J169">
        <v>316.12</v>
      </c>
      <c r="K169">
        <v>719.25599999999997</v>
      </c>
    </row>
    <row r="170" spans="1:11" x14ac:dyDescent="0.25">
      <c r="A170">
        <v>26</v>
      </c>
      <c r="B170" s="17">
        <v>45973</v>
      </c>
      <c r="C170" s="18" t="s">
        <v>39</v>
      </c>
      <c r="D170" s="18" t="s">
        <v>27</v>
      </c>
      <c r="E170" s="18" t="s">
        <v>36</v>
      </c>
      <c r="F170" s="18" t="s">
        <v>37</v>
      </c>
      <c r="G170">
        <v>4</v>
      </c>
      <c r="H170">
        <v>696.05600000000004</v>
      </c>
      <c r="I170">
        <v>538.54999999999995</v>
      </c>
      <c r="J170">
        <v>630.024</v>
      </c>
      <c r="K170">
        <v>2784.2240000000002</v>
      </c>
    </row>
    <row r="171" spans="1:11" x14ac:dyDescent="0.25">
      <c r="A171">
        <v>268</v>
      </c>
      <c r="B171" s="17">
        <v>45693</v>
      </c>
      <c r="C171" s="18" t="s">
        <v>11</v>
      </c>
      <c r="D171" s="18" t="s">
        <v>16</v>
      </c>
      <c r="E171" s="18" t="s">
        <v>17</v>
      </c>
      <c r="F171" s="18" t="s">
        <v>32</v>
      </c>
      <c r="G171">
        <v>9</v>
      </c>
      <c r="H171">
        <v>627.75</v>
      </c>
      <c r="I171">
        <v>471.38</v>
      </c>
      <c r="J171">
        <v>1407.33</v>
      </c>
      <c r="K171">
        <v>5649.75</v>
      </c>
    </row>
    <row r="172" spans="1:11" x14ac:dyDescent="0.25">
      <c r="A172">
        <v>87</v>
      </c>
      <c r="B172" s="17">
        <v>45741</v>
      </c>
      <c r="C172" s="18" t="s">
        <v>11</v>
      </c>
      <c r="D172" s="18" t="s">
        <v>27</v>
      </c>
      <c r="E172" s="18" t="s">
        <v>21</v>
      </c>
      <c r="F172" s="18" t="s">
        <v>18</v>
      </c>
      <c r="G172">
        <v>1</v>
      </c>
      <c r="H172">
        <v>571.70399999999995</v>
      </c>
      <c r="I172">
        <v>416.35</v>
      </c>
      <c r="J172">
        <v>155.35400000000001</v>
      </c>
      <c r="K172">
        <v>571.70399999999995</v>
      </c>
    </row>
    <row r="173" spans="1:11" x14ac:dyDescent="0.25">
      <c r="A173">
        <v>278</v>
      </c>
      <c r="B173" s="17">
        <v>45651</v>
      </c>
      <c r="C173" s="18" t="s">
        <v>34</v>
      </c>
      <c r="D173" s="18" t="s">
        <v>29</v>
      </c>
      <c r="E173" s="18" t="s">
        <v>36</v>
      </c>
      <c r="F173" s="18" t="s">
        <v>18</v>
      </c>
      <c r="G173">
        <v>9</v>
      </c>
      <c r="H173">
        <v>566.07799999999997</v>
      </c>
      <c r="I173">
        <v>411.02199999999999</v>
      </c>
      <c r="J173">
        <v>1395.5039999999999</v>
      </c>
      <c r="K173">
        <v>5094.7020000000002</v>
      </c>
    </row>
    <row r="174" spans="1:11" x14ac:dyDescent="0.25">
      <c r="A174">
        <v>254</v>
      </c>
      <c r="B174" s="17">
        <v>45951</v>
      </c>
      <c r="C174" s="18" t="s">
        <v>41</v>
      </c>
      <c r="D174" s="18" t="s">
        <v>27</v>
      </c>
      <c r="E174" s="18" t="s">
        <v>24</v>
      </c>
      <c r="F174" s="18" t="s">
        <v>18</v>
      </c>
      <c r="G174">
        <v>8</v>
      </c>
      <c r="H174">
        <v>560.01599999999996</v>
      </c>
      <c r="I174">
        <v>405.07</v>
      </c>
      <c r="J174">
        <v>1239.568</v>
      </c>
      <c r="K174">
        <v>4480.1279999999997</v>
      </c>
    </row>
    <row r="175" spans="1:11" x14ac:dyDescent="0.25">
      <c r="A175">
        <v>30</v>
      </c>
      <c r="B175" s="17">
        <v>45939</v>
      </c>
      <c r="C175" s="18" t="s">
        <v>11</v>
      </c>
      <c r="D175" s="18" t="s">
        <v>12</v>
      </c>
      <c r="E175" s="18" t="s">
        <v>21</v>
      </c>
      <c r="F175" s="18" t="s">
        <v>22</v>
      </c>
      <c r="G175">
        <v>2</v>
      </c>
      <c r="H175">
        <v>352.43</v>
      </c>
      <c r="I175">
        <v>197.69200000000001</v>
      </c>
      <c r="J175">
        <v>309.476</v>
      </c>
      <c r="K175">
        <v>704.86</v>
      </c>
    </row>
    <row r="176" spans="1:11" x14ac:dyDescent="0.25">
      <c r="A176">
        <v>219</v>
      </c>
      <c r="B176" s="17">
        <v>45803</v>
      </c>
      <c r="C176" s="18" t="s">
        <v>41</v>
      </c>
      <c r="D176" s="18" t="s">
        <v>20</v>
      </c>
      <c r="E176" s="18" t="s">
        <v>21</v>
      </c>
      <c r="F176" s="18" t="s">
        <v>38</v>
      </c>
      <c r="G176">
        <v>6</v>
      </c>
      <c r="H176">
        <v>765.69600000000003</v>
      </c>
      <c r="I176">
        <v>611.83600000000001</v>
      </c>
      <c r="J176">
        <v>923.16</v>
      </c>
      <c r="K176">
        <v>4594.1760000000004</v>
      </c>
    </row>
    <row r="177" spans="1:11" x14ac:dyDescent="0.25">
      <c r="A177">
        <v>44</v>
      </c>
      <c r="B177" s="17">
        <v>45714</v>
      </c>
      <c r="C177" s="18" t="s">
        <v>40</v>
      </c>
      <c r="D177" s="18" t="s">
        <v>29</v>
      </c>
      <c r="E177" s="18" t="s">
        <v>21</v>
      </c>
      <c r="F177" s="18" t="s">
        <v>14</v>
      </c>
      <c r="G177">
        <v>2</v>
      </c>
      <c r="H177">
        <v>366.9</v>
      </c>
      <c r="I177">
        <v>213.36199999999999</v>
      </c>
      <c r="J177">
        <v>307.07600000000002</v>
      </c>
      <c r="K177">
        <v>733.8</v>
      </c>
    </row>
    <row r="178" spans="1:11" x14ac:dyDescent="0.25">
      <c r="A178">
        <v>127</v>
      </c>
      <c r="B178" s="17">
        <v>45956</v>
      </c>
      <c r="C178" s="18" t="s">
        <v>43</v>
      </c>
      <c r="D178" s="18" t="s">
        <v>12</v>
      </c>
      <c r="E178" s="18" t="s">
        <v>36</v>
      </c>
      <c r="F178" s="18" t="s">
        <v>18</v>
      </c>
      <c r="G178">
        <v>7</v>
      </c>
      <c r="H178">
        <v>352.48200000000003</v>
      </c>
      <c r="I178">
        <v>200.46199999999999</v>
      </c>
      <c r="J178">
        <v>1064.1400000000001</v>
      </c>
      <c r="K178">
        <v>2467.3739999999998</v>
      </c>
    </row>
    <row r="179" spans="1:11" x14ac:dyDescent="0.25">
      <c r="A179">
        <v>234</v>
      </c>
      <c r="B179" s="17">
        <v>45729</v>
      </c>
      <c r="C179" s="18" t="s">
        <v>31</v>
      </c>
      <c r="D179" s="18" t="s">
        <v>29</v>
      </c>
      <c r="E179" s="18" t="s">
        <v>36</v>
      </c>
      <c r="F179" s="18" t="s">
        <v>32</v>
      </c>
      <c r="G179">
        <v>7</v>
      </c>
      <c r="H179">
        <v>540.14800000000002</v>
      </c>
      <c r="I179">
        <v>389.11799999999999</v>
      </c>
      <c r="J179">
        <v>1057.21</v>
      </c>
      <c r="K179">
        <v>3781.0360000000001</v>
      </c>
    </row>
    <row r="180" spans="1:11" x14ac:dyDescent="0.25">
      <c r="A180">
        <v>22</v>
      </c>
      <c r="B180" s="17">
        <v>45679</v>
      </c>
      <c r="C180" s="18" t="s">
        <v>19</v>
      </c>
      <c r="D180" s="18" t="s">
        <v>16</v>
      </c>
      <c r="E180" s="18" t="s">
        <v>13</v>
      </c>
      <c r="F180" s="18" t="s">
        <v>37</v>
      </c>
      <c r="G180">
        <v>10</v>
      </c>
      <c r="H180">
        <v>529.91</v>
      </c>
      <c r="I180">
        <v>379.93799999999999</v>
      </c>
      <c r="J180">
        <v>1499.72</v>
      </c>
      <c r="K180">
        <v>5299.1</v>
      </c>
    </row>
    <row r="181" spans="1:11" x14ac:dyDescent="0.25">
      <c r="A181">
        <v>177</v>
      </c>
      <c r="B181" s="17">
        <v>45840</v>
      </c>
      <c r="C181" s="18" t="s">
        <v>34</v>
      </c>
      <c r="D181" s="18" t="s">
        <v>29</v>
      </c>
      <c r="E181" s="18" t="s">
        <v>17</v>
      </c>
      <c r="F181" s="18" t="s">
        <v>33</v>
      </c>
      <c r="G181">
        <v>3</v>
      </c>
      <c r="H181">
        <v>388.18799999999999</v>
      </c>
      <c r="I181">
        <v>240.38800000000001</v>
      </c>
      <c r="J181">
        <v>443.4</v>
      </c>
      <c r="K181">
        <v>1164.5640000000001</v>
      </c>
    </row>
    <row r="182" spans="1:11" x14ac:dyDescent="0.25">
      <c r="A182">
        <v>47</v>
      </c>
      <c r="B182" s="17">
        <v>45885</v>
      </c>
      <c r="C182" s="18" t="s">
        <v>34</v>
      </c>
      <c r="D182" s="18" t="s">
        <v>16</v>
      </c>
      <c r="E182" s="18" t="s">
        <v>13</v>
      </c>
      <c r="F182" s="18" t="s">
        <v>18</v>
      </c>
      <c r="G182">
        <v>9</v>
      </c>
      <c r="H182">
        <v>315.93200000000002</v>
      </c>
      <c r="I182">
        <v>168.24</v>
      </c>
      <c r="J182">
        <v>1329.2280000000001</v>
      </c>
      <c r="K182">
        <v>2843.3879999999999</v>
      </c>
    </row>
    <row r="183" spans="1:11" x14ac:dyDescent="0.25">
      <c r="A183">
        <v>65</v>
      </c>
      <c r="B183" s="17">
        <v>45776</v>
      </c>
      <c r="C183" s="18" t="s">
        <v>42</v>
      </c>
      <c r="D183" s="18" t="s">
        <v>12</v>
      </c>
      <c r="E183" s="18" t="s">
        <v>21</v>
      </c>
      <c r="F183" s="18" t="s">
        <v>18</v>
      </c>
      <c r="G183">
        <v>6</v>
      </c>
      <c r="H183">
        <v>408.96</v>
      </c>
      <c r="I183">
        <v>261.93599999999998</v>
      </c>
      <c r="J183">
        <v>882.14400000000001</v>
      </c>
      <c r="K183">
        <v>2453.7600000000002</v>
      </c>
    </row>
    <row r="184" spans="1:11" x14ac:dyDescent="0.25">
      <c r="A184">
        <v>62</v>
      </c>
      <c r="B184" s="17">
        <v>45679</v>
      </c>
      <c r="C184" s="18" t="s">
        <v>35</v>
      </c>
      <c r="D184" s="18" t="s">
        <v>16</v>
      </c>
      <c r="E184" s="18" t="s">
        <v>24</v>
      </c>
      <c r="F184" s="18" t="s">
        <v>22</v>
      </c>
      <c r="G184">
        <v>5</v>
      </c>
      <c r="H184">
        <v>472.92399999999998</v>
      </c>
      <c r="I184">
        <v>327.63200000000001</v>
      </c>
      <c r="J184">
        <v>726.46</v>
      </c>
      <c r="K184">
        <v>2364.62</v>
      </c>
    </row>
    <row r="185" spans="1:11" x14ac:dyDescent="0.25">
      <c r="A185">
        <v>205</v>
      </c>
      <c r="B185" s="17">
        <v>45739</v>
      </c>
      <c r="C185" s="18" t="s">
        <v>39</v>
      </c>
      <c r="D185" s="18" t="s">
        <v>29</v>
      </c>
      <c r="E185" s="18" t="s">
        <v>21</v>
      </c>
      <c r="F185" s="18" t="s">
        <v>33</v>
      </c>
      <c r="G185">
        <v>6</v>
      </c>
      <c r="H185">
        <v>702.01199999999994</v>
      </c>
      <c r="I185">
        <v>558.18799999999999</v>
      </c>
      <c r="J185">
        <v>862.94399999999996</v>
      </c>
      <c r="K185">
        <v>4212.0720000000001</v>
      </c>
    </row>
    <row r="186" spans="1:11" x14ac:dyDescent="0.25">
      <c r="A186">
        <v>238</v>
      </c>
      <c r="B186" s="17">
        <v>45982</v>
      </c>
      <c r="C186" s="18" t="s">
        <v>42</v>
      </c>
      <c r="D186" s="18" t="s">
        <v>27</v>
      </c>
      <c r="E186" s="18" t="s">
        <v>36</v>
      </c>
      <c r="F186" s="18" t="s">
        <v>32</v>
      </c>
      <c r="G186">
        <v>2</v>
      </c>
      <c r="H186">
        <v>551.84799999999996</v>
      </c>
      <c r="I186">
        <v>410.23599999999999</v>
      </c>
      <c r="J186">
        <v>283.22399999999999</v>
      </c>
      <c r="K186">
        <v>1103.6959999999999</v>
      </c>
    </row>
    <row r="187" spans="1:11" x14ac:dyDescent="0.25">
      <c r="A187">
        <v>55</v>
      </c>
      <c r="B187" s="17">
        <v>45838</v>
      </c>
      <c r="C187" s="18" t="s">
        <v>19</v>
      </c>
      <c r="D187" s="18" t="s">
        <v>20</v>
      </c>
      <c r="E187" s="18" t="s">
        <v>36</v>
      </c>
      <c r="F187" s="18" t="s">
        <v>18</v>
      </c>
      <c r="G187">
        <v>4</v>
      </c>
      <c r="H187">
        <v>640.54999999999995</v>
      </c>
      <c r="I187">
        <v>499.69</v>
      </c>
      <c r="J187">
        <v>563.44000000000005</v>
      </c>
      <c r="K187">
        <v>2562.1999999999998</v>
      </c>
    </row>
    <row r="188" spans="1:11" x14ac:dyDescent="0.25">
      <c r="A188">
        <v>290</v>
      </c>
      <c r="B188" s="17">
        <v>45726</v>
      </c>
      <c r="C188" s="18" t="s">
        <v>31</v>
      </c>
      <c r="D188" s="18" t="s">
        <v>20</v>
      </c>
      <c r="E188" s="18" t="s">
        <v>36</v>
      </c>
      <c r="F188" s="18" t="s">
        <v>37</v>
      </c>
      <c r="G188">
        <v>7</v>
      </c>
      <c r="H188">
        <v>635.28399999999999</v>
      </c>
      <c r="I188">
        <v>494.72199999999998</v>
      </c>
      <c r="J188">
        <v>983.93399999999997</v>
      </c>
      <c r="K188">
        <v>4446.9880000000003</v>
      </c>
    </row>
    <row r="189" spans="1:11" x14ac:dyDescent="0.25">
      <c r="A189">
        <v>188</v>
      </c>
      <c r="B189" s="17">
        <v>45904</v>
      </c>
      <c r="C189" s="18" t="s">
        <v>19</v>
      </c>
      <c r="D189" s="18" t="s">
        <v>20</v>
      </c>
      <c r="E189" s="18" t="s">
        <v>24</v>
      </c>
      <c r="F189" s="18" t="s">
        <v>33</v>
      </c>
      <c r="G189">
        <v>10</v>
      </c>
      <c r="H189">
        <v>370.35199999999998</v>
      </c>
      <c r="I189">
        <v>230.35</v>
      </c>
      <c r="J189">
        <v>1400.02</v>
      </c>
      <c r="K189">
        <v>3703.52</v>
      </c>
    </row>
    <row r="190" spans="1:11" x14ac:dyDescent="0.25">
      <c r="A190">
        <v>270</v>
      </c>
      <c r="B190" s="17">
        <v>45837</v>
      </c>
      <c r="C190" s="18" t="s">
        <v>35</v>
      </c>
      <c r="D190" s="18" t="s">
        <v>27</v>
      </c>
      <c r="E190" s="18" t="s">
        <v>24</v>
      </c>
      <c r="F190" s="18" t="s">
        <v>25</v>
      </c>
      <c r="G190">
        <v>7</v>
      </c>
      <c r="H190">
        <v>430.10599999999999</v>
      </c>
      <c r="I190">
        <v>292.86799999999999</v>
      </c>
      <c r="J190">
        <v>960.66600000000005</v>
      </c>
      <c r="K190">
        <v>3010.7420000000002</v>
      </c>
    </row>
    <row r="191" spans="1:11" x14ac:dyDescent="0.25">
      <c r="A191">
        <v>19</v>
      </c>
      <c r="B191" s="17">
        <v>45786</v>
      </c>
      <c r="C191" s="18" t="s">
        <v>26</v>
      </c>
      <c r="D191" s="18" t="s">
        <v>12</v>
      </c>
      <c r="E191" s="18" t="s">
        <v>17</v>
      </c>
      <c r="F191" s="18" t="s">
        <v>32</v>
      </c>
      <c r="G191">
        <v>4</v>
      </c>
      <c r="H191">
        <v>382.95800000000003</v>
      </c>
      <c r="I191">
        <v>246.51400000000001</v>
      </c>
      <c r="J191">
        <v>545.77599999999995</v>
      </c>
      <c r="K191">
        <v>1531.8320000000001</v>
      </c>
    </row>
    <row r="192" spans="1:11" x14ac:dyDescent="0.25">
      <c r="A192">
        <v>282</v>
      </c>
      <c r="B192" s="17">
        <v>45864</v>
      </c>
      <c r="C192" s="18" t="s">
        <v>28</v>
      </c>
      <c r="D192" s="18" t="s">
        <v>20</v>
      </c>
      <c r="E192" s="18" t="s">
        <v>21</v>
      </c>
      <c r="F192" s="18" t="s">
        <v>37</v>
      </c>
      <c r="G192">
        <v>3</v>
      </c>
      <c r="H192">
        <v>361.56200000000001</v>
      </c>
      <c r="I192">
        <v>225.292</v>
      </c>
      <c r="J192">
        <v>408.81</v>
      </c>
      <c r="K192">
        <v>1084.6859999999999</v>
      </c>
    </row>
    <row r="193" spans="1:11" x14ac:dyDescent="0.25">
      <c r="A193">
        <v>46</v>
      </c>
      <c r="B193" s="17">
        <v>45962</v>
      </c>
      <c r="C193" s="18" t="s">
        <v>15</v>
      </c>
      <c r="D193" s="18" t="s">
        <v>12</v>
      </c>
      <c r="E193" s="18" t="s">
        <v>21</v>
      </c>
      <c r="F193" s="18" t="s">
        <v>38</v>
      </c>
      <c r="G193">
        <v>10</v>
      </c>
      <c r="H193">
        <v>321.25400000000002</v>
      </c>
      <c r="I193">
        <v>185.494</v>
      </c>
      <c r="J193">
        <v>1357.6</v>
      </c>
      <c r="K193">
        <v>3212.54</v>
      </c>
    </row>
    <row r="194" spans="1:11" x14ac:dyDescent="0.25">
      <c r="A194">
        <v>276</v>
      </c>
      <c r="B194" s="17">
        <v>45884</v>
      </c>
      <c r="C194" s="18" t="s">
        <v>11</v>
      </c>
      <c r="D194" s="18" t="s">
        <v>29</v>
      </c>
      <c r="E194" s="18" t="s">
        <v>13</v>
      </c>
      <c r="F194" s="18" t="s">
        <v>32</v>
      </c>
      <c r="G194">
        <v>2</v>
      </c>
      <c r="H194">
        <v>422.35199999999998</v>
      </c>
      <c r="I194">
        <v>286.84800000000001</v>
      </c>
      <c r="J194">
        <v>271.00799999999998</v>
      </c>
      <c r="K194">
        <v>844.70399999999995</v>
      </c>
    </row>
    <row r="195" spans="1:11" x14ac:dyDescent="0.25">
      <c r="A195">
        <v>123</v>
      </c>
      <c r="B195" s="17">
        <v>45842</v>
      </c>
      <c r="C195" s="18" t="s">
        <v>35</v>
      </c>
      <c r="D195" s="18" t="s">
        <v>16</v>
      </c>
      <c r="E195" s="18" t="s">
        <v>17</v>
      </c>
      <c r="F195" s="18" t="s">
        <v>14</v>
      </c>
      <c r="G195">
        <v>4</v>
      </c>
      <c r="H195">
        <v>505.02199999999999</v>
      </c>
      <c r="I195">
        <v>372.33600000000001</v>
      </c>
      <c r="J195">
        <v>530.74400000000003</v>
      </c>
      <c r="K195">
        <v>2020.088</v>
      </c>
    </row>
    <row r="196" spans="1:11" x14ac:dyDescent="0.25">
      <c r="A196">
        <v>16</v>
      </c>
      <c r="B196" s="17">
        <v>45774</v>
      </c>
      <c r="C196" s="18" t="s">
        <v>28</v>
      </c>
      <c r="D196" s="18" t="s">
        <v>20</v>
      </c>
      <c r="E196" s="18" t="s">
        <v>24</v>
      </c>
      <c r="F196" s="18" t="s">
        <v>25</v>
      </c>
      <c r="G196">
        <v>2</v>
      </c>
      <c r="H196">
        <v>435.928</v>
      </c>
      <c r="I196">
        <v>303.25</v>
      </c>
      <c r="J196">
        <v>265.35599999999999</v>
      </c>
      <c r="K196">
        <v>871.85599999999999</v>
      </c>
    </row>
    <row r="197" spans="1:11" x14ac:dyDescent="0.25">
      <c r="A197">
        <v>207</v>
      </c>
      <c r="B197" s="17">
        <v>45893</v>
      </c>
      <c r="C197" s="18" t="s">
        <v>28</v>
      </c>
      <c r="D197" s="18" t="s">
        <v>20</v>
      </c>
      <c r="E197" s="18" t="s">
        <v>21</v>
      </c>
      <c r="F197" s="18" t="s">
        <v>22</v>
      </c>
      <c r="G197">
        <v>10</v>
      </c>
      <c r="H197">
        <v>509.78399999999999</v>
      </c>
      <c r="I197">
        <v>377.33600000000001</v>
      </c>
      <c r="J197">
        <v>1324.48</v>
      </c>
      <c r="K197">
        <v>5097.84</v>
      </c>
    </row>
    <row r="198" spans="1:11" x14ac:dyDescent="0.25">
      <c r="A198">
        <v>288</v>
      </c>
      <c r="B198" s="17">
        <v>45712</v>
      </c>
      <c r="C198" s="18" t="s">
        <v>40</v>
      </c>
      <c r="D198" s="18" t="s">
        <v>16</v>
      </c>
      <c r="E198" s="18" t="s">
        <v>17</v>
      </c>
      <c r="F198" s="18" t="s">
        <v>30</v>
      </c>
      <c r="G198">
        <v>6</v>
      </c>
      <c r="H198">
        <v>380.94400000000002</v>
      </c>
      <c r="I198">
        <v>249.244</v>
      </c>
      <c r="J198">
        <v>790.2</v>
      </c>
      <c r="K198">
        <v>2285.6640000000002</v>
      </c>
    </row>
    <row r="199" spans="1:11" x14ac:dyDescent="0.25">
      <c r="A199">
        <v>28</v>
      </c>
      <c r="B199" s="17">
        <v>45644</v>
      </c>
      <c r="C199" s="18" t="s">
        <v>39</v>
      </c>
      <c r="D199" s="18" t="s">
        <v>20</v>
      </c>
      <c r="E199" s="18" t="s">
        <v>13</v>
      </c>
      <c r="F199" s="18" t="s">
        <v>25</v>
      </c>
      <c r="G199">
        <v>4</v>
      </c>
      <c r="H199">
        <v>493.22</v>
      </c>
      <c r="I199">
        <v>361.88400000000001</v>
      </c>
      <c r="J199">
        <v>525.34400000000005</v>
      </c>
      <c r="K199">
        <v>1972.88</v>
      </c>
    </row>
    <row r="200" spans="1:11" x14ac:dyDescent="0.25">
      <c r="A200">
        <v>93</v>
      </c>
      <c r="B200" s="17">
        <v>45645</v>
      </c>
      <c r="C200" s="18" t="s">
        <v>34</v>
      </c>
      <c r="D200" s="18" t="s">
        <v>29</v>
      </c>
      <c r="E200" s="18" t="s">
        <v>17</v>
      </c>
      <c r="F200" s="18" t="s">
        <v>38</v>
      </c>
      <c r="G200">
        <v>5</v>
      </c>
      <c r="H200">
        <v>377.76400000000001</v>
      </c>
      <c r="I200">
        <v>247.07400000000001</v>
      </c>
      <c r="J200">
        <v>653.45000000000005</v>
      </c>
      <c r="K200">
        <v>1888.82</v>
      </c>
    </row>
    <row r="201" spans="1:11" x14ac:dyDescent="0.25">
      <c r="A201">
        <v>192</v>
      </c>
      <c r="B201" s="17">
        <v>45724</v>
      </c>
      <c r="C201" s="18" t="s">
        <v>19</v>
      </c>
      <c r="D201" s="18" t="s">
        <v>29</v>
      </c>
      <c r="E201" s="18" t="s">
        <v>24</v>
      </c>
      <c r="F201" s="18" t="s">
        <v>33</v>
      </c>
      <c r="G201">
        <v>9</v>
      </c>
      <c r="H201">
        <v>487.82799999999997</v>
      </c>
      <c r="I201">
        <v>358.63200000000001</v>
      </c>
      <c r="J201">
        <v>1162.7639999999999</v>
      </c>
      <c r="K201">
        <v>4390.4520000000002</v>
      </c>
    </row>
    <row r="202" spans="1:11" x14ac:dyDescent="0.25">
      <c r="A202">
        <v>57</v>
      </c>
      <c r="B202" s="17">
        <v>45958</v>
      </c>
      <c r="C202" s="18" t="s">
        <v>26</v>
      </c>
      <c r="D202" s="18" t="s">
        <v>29</v>
      </c>
      <c r="E202" s="18" t="s">
        <v>17</v>
      </c>
      <c r="F202" s="18" t="s">
        <v>25</v>
      </c>
      <c r="G202">
        <v>10</v>
      </c>
      <c r="H202">
        <v>445.44600000000003</v>
      </c>
      <c r="I202">
        <v>317.41800000000001</v>
      </c>
      <c r="J202">
        <v>1280.28</v>
      </c>
      <c r="K202">
        <v>4454.46</v>
      </c>
    </row>
    <row r="203" spans="1:11" x14ac:dyDescent="0.25">
      <c r="A203">
        <v>300</v>
      </c>
      <c r="B203" s="17">
        <v>45812</v>
      </c>
      <c r="C203" s="18" t="s">
        <v>41</v>
      </c>
      <c r="D203" s="18" t="s">
        <v>12</v>
      </c>
      <c r="E203" s="18" t="s">
        <v>36</v>
      </c>
      <c r="F203" s="18" t="s">
        <v>22</v>
      </c>
      <c r="G203">
        <v>7</v>
      </c>
      <c r="H203">
        <v>580.60400000000004</v>
      </c>
      <c r="I203">
        <v>453.25200000000001</v>
      </c>
      <c r="J203">
        <v>891.46400000000006</v>
      </c>
      <c r="K203">
        <v>4064.2280000000001</v>
      </c>
    </row>
    <row r="204" spans="1:11" x14ac:dyDescent="0.25">
      <c r="A204">
        <v>277</v>
      </c>
      <c r="B204" s="17">
        <v>45787</v>
      </c>
      <c r="C204" s="18" t="s">
        <v>26</v>
      </c>
      <c r="D204" s="18" t="s">
        <v>29</v>
      </c>
      <c r="E204" s="18" t="s">
        <v>17</v>
      </c>
      <c r="F204" s="18" t="s">
        <v>33</v>
      </c>
      <c r="G204">
        <v>7</v>
      </c>
      <c r="H204">
        <v>305.63200000000001</v>
      </c>
      <c r="I204">
        <v>178.77799999999999</v>
      </c>
      <c r="J204">
        <v>887.97799999999995</v>
      </c>
      <c r="K204">
        <v>2139.424</v>
      </c>
    </row>
    <row r="205" spans="1:11" x14ac:dyDescent="0.25">
      <c r="A205">
        <v>198</v>
      </c>
      <c r="B205" s="17">
        <v>45895</v>
      </c>
      <c r="C205" s="18" t="s">
        <v>26</v>
      </c>
      <c r="D205" s="18" t="s">
        <v>20</v>
      </c>
      <c r="E205" s="18" t="s">
        <v>13</v>
      </c>
      <c r="F205" s="18" t="s">
        <v>14</v>
      </c>
      <c r="G205">
        <v>10</v>
      </c>
      <c r="H205">
        <v>589.27200000000005</v>
      </c>
      <c r="I205">
        <v>464.65199999999999</v>
      </c>
      <c r="J205">
        <v>1246.2</v>
      </c>
      <c r="K205">
        <v>5892.72</v>
      </c>
    </row>
    <row r="206" spans="1:11" x14ac:dyDescent="0.25">
      <c r="A206">
        <v>245</v>
      </c>
      <c r="B206" s="17">
        <v>45659</v>
      </c>
      <c r="C206" s="18" t="s">
        <v>35</v>
      </c>
      <c r="D206" s="18" t="s">
        <v>16</v>
      </c>
      <c r="E206" s="18" t="s">
        <v>24</v>
      </c>
      <c r="F206" s="18" t="s">
        <v>18</v>
      </c>
      <c r="G206">
        <v>9</v>
      </c>
      <c r="H206">
        <v>553.02800000000002</v>
      </c>
      <c r="I206">
        <v>429.46800000000002</v>
      </c>
      <c r="J206">
        <v>1112.04</v>
      </c>
      <c r="K206">
        <v>4977.2520000000004</v>
      </c>
    </row>
    <row r="207" spans="1:11" x14ac:dyDescent="0.25">
      <c r="A207">
        <v>116</v>
      </c>
      <c r="B207" s="17">
        <v>45638</v>
      </c>
      <c r="C207" s="18" t="s">
        <v>39</v>
      </c>
      <c r="D207" s="18" t="s">
        <v>12</v>
      </c>
      <c r="E207" s="18" t="s">
        <v>17</v>
      </c>
      <c r="F207" s="18" t="s">
        <v>22</v>
      </c>
      <c r="G207">
        <v>6</v>
      </c>
      <c r="H207">
        <v>448.41399999999999</v>
      </c>
      <c r="I207">
        <v>325.84800000000001</v>
      </c>
      <c r="J207">
        <v>735.39599999999996</v>
      </c>
      <c r="K207">
        <v>2690.4839999999999</v>
      </c>
    </row>
    <row r="208" spans="1:11" x14ac:dyDescent="0.25">
      <c r="A208">
        <v>158</v>
      </c>
      <c r="B208" s="17">
        <v>45813</v>
      </c>
      <c r="C208" s="18" t="s">
        <v>31</v>
      </c>
      <c r="D208" s="18" t="s">
        <v>27</v>
      </c>
      <c r="E208" s="18" t="s">
        <v>13</v>
      </c>
      <c r="F208" s="18" t="s">
        <v>32</v>
      </c>
      <c r="G208">
        <v>8</v>
      </c>
      <c r="H208">
        <v>518.71799999999996</v>
      </c>
      <c r="I208">
        <v>398.22</v>
      </c>
      <c r="J208">
        <v>963.98400000000004</v>
      </c>
      <c r="K208">
        <v>4149.7439999999997</v>
      </c>
    </row>
    <row r="209" spans="1:11" x14ac:dyDescent="0.25">
      <c r="A209">
        <v>172</v>
      </c>
      <c r="B209" s="17">
        <v>45963</v>
      </c>
      <c r="C209" s="18" t="s">
        <v>19</v>
      </c>
      <c r="D209" s="18" t="s">
        <v>16</v>
      </c>
      <c r="E209" s="18" t="s">
        <v>21</v>
      </c>
      <c r="F209" s="18" t="s">
        <v>25</v>
      </c>
      <c r="G209">
        <v>5</v>
      </c>
      <c r="H209">
        <v>388.38799999999998</v>
      </c>
      <c r="I209">
        <v>268.13799999999998</v>
      </c>
      <c r="J209">
        <v>601.25</v>
      </c>
      <c r="K209">
        <v>1941.94</v>
      </c>
    </row>
    <row r="210" spans="1:11" x14ac:dyDescent="0.25">
      <c r="A210">
        <v>72</v>
      </c>
      <c r="B210" s="17">
        <v>45903</v>
      </c>
      <c r="C210" s="18" t="s">
        <v>19</v>
      </c>
      <c r="D210" s="18" t="s">
        <v>12</v>
      </c>
      <c r="E210" s="18" t="s">
        <v>13</v>
      </c>
      <c r="F210" s="18" t="s">
        <v>14</v>
      </c>
      <c r="G210">
        <v>10</v>
      </c>
      <c r="H210">
        <v>519.75800000000004</v>
      </c>
      <c r="I210">
        <v>401.39800000000002</v>
      </c>
      <c r="J210">
        <v>1183.5999999999999</v>
      </c>
      <c r="K210">
        <v>5197.58</v>
      </c>
    </row>
    <row r="211" spans="1:11" x14ac:dyDescent="0.25">
      <c r="A211">
        <v>69</v>
      </c>
      <c r="B211" s="17">
        <v>45652</v>
      </c>
      <c r="C211" s="18" t="s">
        <v>35</v>
      </c>
      <c r="D211" s="18" t="s">
        <v>12</v>
      </c>
      <c r="E211" s="18" t="s">
        <v>13</v>
      </c>
      <c r="F211" s="18" t="s">
        <v>25</v>
      </c>
      <c r="G211">
        <v>9</v>
      </c>
      <c r="H211">
        <v>568.68200000000002</v>
      </c>
      <c r="I211">
        <v>450.75200000000001</v>
      </c>
      <c r="J211">
        <v>1061.3699999999999</v>
      </c>
      <c r="K211">
        <v>5118.1379999999999</v>
      </c>
    </row>
    <row r="212" spans="1:11" x14ac:dyDescent="0.25">
      <c r="A212">
        <v>120</v>
      </c>
      <c r="B212" s="17">
        <v>45857</v>
      </c>
      <c r="C212" s="18" t="s">
        <v>41</v>
      </c>
      <c r="D212" s="18" t="s">
        <v>29</v>
      </c>
      <c r="E212" s="18" t="s">
        <v>13</v>
      </c>
      <c r="F212" s="18" t="s">
        <v>22</v>
      </c>
      <c r="G212">
        <v>10</v>
      </c>
      <c r="H212">
        <v>362.25200000000001</v>
      </c>
      <c r="I212">
        <v>244.40600000000001</v>
      </c>
      <c r="J212">
        <v>1178.46</v>
      </c>
      <c r="K212">
        <v>3622.52</v>
      </c>
    </row>
    <row r="213" spans="1:11" x14ac:dyDescent="0.25">
      <c r="A213">
        <v>299</v>
      </c>
      <c r="B213" s="17">
        <v>45766</v>
      </c>
      <c r="C213" s="18" t="s">
        <v>40</v>
      </c>
      <c r="D213" s="18" t="s">
        <v>27</v>
      </c>
      <c r="E213" s="18" t="s">
        <v>21</v>
      </c>
      <c r="F213" s="18" t="s">
        <v>32</v>
      </c>
      <c r="G213">
        <v>5</v>
      </c>
      <c r="H213">
        <v>328.17200000000003</v>
      </c>
      <c r="I213">
        <v>210.66</v>
      </c>
      <c r="J213">
        <v>587.55999999999995</v>
      </c>
      <c r="K213">
        <v>1640.86</v>
      </c>
    </row>
    <row r="214" spans="1:11" x14ac:dyDescent="0.25">
      <c r="A214">
        <v>156</v>
      </c>
      <c r="B214" s="17">
        <v>45750</v>
      </c>
      <c r="C214" s="18" t="s">
        <v>31</v>
      </c>
      <c r="D214" s="18" t="s">
        <v>12</v>
      </c>
      <c r="E214" s="18" t="s">
        <v>24</v>
      </c>
      <c r="F214" s="18" t="s">
        <v>32</v>
      </c>
      <c r="G214">
        <v>9</v>
      </c>
      <c r="H214">
        <v>329.15</v>
      </c>
      <c r="I214">
        <v>212.25</v>
      </c>
      <c r="J214">
        <v>1052.0999999999999</v>
      </c>
      <c r="K214">
        <v>2962.35</v>
      </c>
    </row>
    <row r="215" spans="1:11" x14ac:dyDescent="0.25">
      <c r="A215">
        <v>82</v>
      </c>
      <c r="B215" s="17">
        <v>45721</v>
      </c>
      <c r="C215" s="18" t="s">
        <v>23</v>
      </c>
      <c r="D215" s="18" t="s">
        <v>20</v>
      </c>
      <c r="E215" s="18" t="s">
        <v>24</v>
      </c>
      <c r="F215" s="18" t="s">
        <v>32</v>
      </c>
      <c r="G215">
        <v>8</v>
      </c>
      <c r="H215">
        <v>366.50799999999998</v>
      </c>
      <c r="I215">
        <v>249.92</v>
      </c>
      <c r="J215">
        <v>932.70399999999995</v>
      </c>
      <c r="K215">
        <v>2932.0639999999999</v>
      </c>
    </row>
    <row r="216" spans="1:11" x14ac:dyDescent="0.25">
      <c r="A216">
        <v>272</v>
      </c>
      <c r="B216" s="17">
        <v>45922</v>
      </c>
      <c r="C216" s="18" t="s">
        <v>41</v>
      </c>
      <c r="D216" s="18" t="s">
        <v>27</v>
      </c>
      <c r="E216" s="18" t="s">
        <v>24</v>
      </c>
      <c r="F216" s="18" t="s">
        <v>25</v>
      </c>
      <c r="G216">
        <v>4</v>
      </c>
      <c r="H216">
        <v>267.12799999999999</v>
      </c>
      <c r="I216">
        <v>150.608</v>
      </c>
      <c r="J216">
        <v>466.08</v>
      </c>
      <c r="K216">
        <v>1068.5119999999999</v>
      </c>
    </row>
    <row r="217" spans="1:11" x14ac:dyDescent="0.25">
      <c r="A217">
        <v>267</v>
      </c>
      <c r="B217" s="17">
        <v>45832</v>
      </c>
      <c r="C217" s="18" t="s">
        <v>26</v>
      </c>
      <c r="D217" s="18" t="s">
        <v>20</v>
      </c>
      <c r="E217" s="18" t="s">
        <v>24</v>
      </c>
      <c r="F217" s="18" t="s">
        <v>32</v>
      </c>
      <c r="G217">
        <v>8</v>
      </c>
      <c r="H217">
        <v>296.19400000000002</v>
      </c>
      <c r="I217">
        <v>181.684</v>
      </c>
      <c r="J217">
        <v>916.08</v>
      </c>
      <c r="K217">
        <v>2369.5520000000001</v>
      </c>
    </row>
    <row r="218" spans="1:11" x14ac:dyDescent="0.25">
      <c r="A218">
        <v>284</v>
      </c>
      <c r="B218" s="17">
        <v>45909</v>
      </c>
      <c r="C218" s="18" t="s">
        <v>34</v>
      </c>
      <c r="D218" s="18" t="s">
        <v>29</v>
      </c>
      <c r="E218" s="18" t="s">
        <v>24</v>
      </c>
      <c r="F218" s="18" t="s">
        <v>22</v>
      </c>
      <c r="G218">
        <v>4</v>
      </c>
      <c r="H218">
        <v>510.74599999999998</v>
      </c>
      <c r="I218">
        <v>396.82799999999997</v>
      </c>
      <c r="J218">
        <v>455.67200000000003</v>
      </c>
      <c r="K218">
        <v>2042.9839999999999</v>
      </c>
    </row>
    <row r="219" spans="1:11" x14ac:dyDescent="0.25">
      <c r="A219">
        <v>185</v>
      </c>
      <c r="B219" s="17">
        <v>45706</v>
      </c>
      <c r="C219" s="18" t="s">
        <v>26</v>
      </c>
      <c r="D219" s="18" t="s">
        <v>20</v>
      </c>
      <c r="E219" s="18" t="s">
        <v>24</v>
      </c>
      <c r="F219" s="18" t="s">
        <v>25</v>
      </c>
      <c r="G219">
        <v>10</v>
      </c>
      <c r="H219">
        <v>533.80200000000002</v>
      </c>
      <c r="I219">
        <v>419.97199999999998</v>
      </c>
      <c r="J219">
        <v>1138.3</v>
      </c>
      <c r="K219">
        <v>5338.02</v>
      </c>
    </row>
    <row r="220" spans="1:11" x14ac:dyDescent="0.25">
      <c r="A220">
        <v>211</v>
      </c>
      <c r="B220" s="17">
        <v>45738</v>
      </c>
      <c r="C220" s="18" t="s">
        <v>35</v>
      </c>
      <c r="D220" s="18" t="s">
        <v>20</v>
      </c>
      <c r="E220" s="18" t="s">
        <v>17</v>
      </c>
      <c r="F220" s="18" t="s">
        <v>44</v>
      </c>
      <c r="G220">
        <v>4</v>
      </c>
      <c r="H220">
        <v>400.20800000000003</v>
      </c>
      <c r="I220">
        <v>289.01400000000001</v>
      </c>
      <c r="J220">
        <v>444.77600000000001</v>
      </c>
      <c r="K220">
        <v>1600.8320000000001</v>
      </c>
    </row>
    <row r="221" spans="1:11" x14ac:dyDescent="0.25">
      <c r="A221">
        <v>209</v>
      </c>
      <c r="B221" s="17">
        <v>45755</v>
      </c>
      <c r="C221" s="18" t="s">
        <v>41</v>
      </c>
      <c r="D221" s="18" t="s">
        <v>29</v>
      </c>
      <c r="E221" s="18" t="s">
        <v>13</v>
      </c>
      <c r="F221" s="18" t="s">
        <v>25</v>
      </c>
      <c r="G221">
        <v>1</v>
      </c>
      <c r="H221">
        <v>256.53800000000001</v>
      </c>
      <c r="I221">
        <v>148.07599999999999</v>
      </c>
      <c r="J221">
        <v>108.462</v>
      </c>
      <c r="K221">
        <v>256.53800000000001</v>
      </c>
    </row>
    <row r="222" spans="1:11" x14ac:dyDescent="0.25">
      <c r="A222">
        <v>294</v>
      </c>
      <c r="B222" s="17">
        <v>45681</v>
      </c>
      <c r="C222" s="18" t="s">
        <v>41</v>
      </c>
      <c r="D222" s="18" t="s">
        <v>20</v>
      </c>
      <c r="E222" s="18" t="s">
        <v>13</v>
      </c>
      <c r="F222" s="18" t="s">
        <v>37</v>
      </c>
      <c r="G222">
        <v>7</v>
      </c>
      <c r="H222">
        <v>453.82</v>
      </c>
      <c r="I222">
        <v>345.54399999999998</v>
      </c>
      <c r="J222">
        <v>757.93200000000002</v>
      </c>
      <c r="K222">
        <v>3176.74</v>
      </c>
    </row>
    <row r="223" spans="1:11" x14ac:dyDescent="0.25">
      <c r="A223">
        <v>196</v>
      </c>
      <c r="B223" s="17">
        <v>45903</v>
      </c>
      <c r="C223" s="18" t="s">
        <v>43</v>
      </c>
      <c r="D223" s="18" t="s">
        <v>29</v>
      </c>
      <c r="E223" s="18" t="s">
        <v>13</v>
      </c>
      <c r="F223" s="18" t="s">
        <v>14</v>
      </c>
      <c r="G223">
        <v>3</v>
      </c>
      <c r="H223">
        <v>259.42399999999998</v>
      </c>
      <c r="I223">
        <v>152.41200000000001</v>
      </c>
      <c r="J223">
        <v>321.036</v>
      </c>
      <c r="K223">
        <v>778.27200000000005</v>
      </c>
    </row>
    <row r="224" spans="1:11" x14ac:dyDescent="0.25">
      <c r="A224">
        <v>146</v>
      </c>
      <c r="B224" s="17">
        <v>45633</v>
      </c>
      <c r="C224" s="18" t="s">
        <v>35</v>
      </c>
      <c r="D224" s="18" t="s">
        <v>27</v>
      </c>
      <c r="E224" s="18" t="s">
        <v>17</v>
      </c>
      <c r="F224" s="18" t="s">
        <v>37</v>
      </c>
      <c r="G224">
        <v>3</v>
      </c>
      <c r="H224">
        <v>419.01799999999997</v>
      </c>
      <c r="I224">
        <v>313.84399999999999</v>
      </c>
      <c r="J224">
        <v>315.52199999999999</v>
      </c>
      <c r="K224">
        <v>1257.0540000000001</v>
      </c>
    </row>
    <row r="225" spans="1:11" x14ac:dyDescent="0.25">
      <c r="A225">
        <v>244</v>
      </c>
      <c r="B225" s="17">
        <v>45849</v>
      </c>
      <c r="C225" s="18" t="s">
        <v>43</v>
      </c>
      <c r="D225" s="18" t="s">
        <v>27</v>
      </c>
      <c r="E225" s="18" t="s">
        <v>36</v>
      </c>
      <c r="F225" s="18" t="s">
        <v>37</v>
      </c>
      <c r="G225">
        <v>1</v>
      </c>
      <c r="H225">
        <v>244.51</v>
      </c>
      <c r="I225">
        <v>141.23400000000001</v>
      </c>
      <c r="J225">
        <v>103.276</v>
      </c>
      <c r="K225">
        <v>244.51</v>
      </c>
    </row>
    <row r="226" spans="1:11" x14ac:dyDescent="0.25">
      <c r="A226">
        <v>114</v>
      </c>
      <c r="B226" s="17">
        <v>45782</v>
      </c>
      <c r="C226" s="18" t="s">
        <v>31</v>
      </c>
      <c r="D226" s="18" t="s">
        <v>29</v>
      </c>
      <c r="E226" s="18" t="s">
        <v>36</v>
      </c>
      <c r="F226" s="18" t="s">
        <v>44</v>
      </c>
      <c r="G226">
        <v>3</v>
      </c>
      <c r="H226">
        <v>345.38600000000002</v>
      </c>
      <c r="I226">
        <v>244.256</v>
      </c>
      <c r="J226">
        <v>303.39</v>
      </c>
      <c r="K226">
        <v>1036.1579999999999</v>
      </c>
    </row>
    <row r="227" spans="1:11" x14ac:dyDescent="0.25">
      <c r="A227">
        <v>218</v>
      </c>
      <c r="B227" s="17">
        <v>45891</v>
      </c>
      <c r="C227" s="18" t="s">
        <v>43</v>
      </c>
      <c r="D227" s="18" t="s">
        <v>29</v>
      </c>
      <c r="E227" s="18" t="s">
        <v>21</v>
      </c>
      <c r="F227" s="18" t="s">
        <v>33</v>
      </c>
      <c r="G227">
        <v>10</v>
      </c>
      <c r="H227">
        <v>344.15600000000001</v>
      </c>
      <c r="I227">
        <v>245.08799999999999</v>
      </c>
      <c r="J227">
        <v>990.68</v>
      </c>
      <c r="K227">
        <v>3441.56</v>
      </c>
    </row>
    <row r="228" spans="1:11" x14ac:dyDescent="0.25">
      <c r="A228">
        <v>45</v>
      </c>
      <c r="B228" s="17">
        <v>45644</v>
      </c>
      <c r="C228" s="18" t="s">
        <v>42</v>
      </c>
      <c r="D228" s="18" t="s">
        <v>29</v>
      </c>
      <c r="E228" s="18" t="s">
        <v>36</v>
      </c>
      <c r="F228" s="18" t="s">
        <v>33</v>
      </c>
      <c r="G228">
        <v>9</v>
      </c>
      <c r="H228">
        <v>234.506</v>
      </c>
      <c r="I228">
        <v>135.98599999999999</v>
      </c>
      <c r="J228">
        <v>886.68</v>
      </c>
      <c r="K228">
        <v>2110.5540000000001</v>
      </c>
    </row>
    <row r="229" spans="1:11" x14ac:dyDescent="0.25">
      <c r="A229">
        <v>291</v>
      </c>
      <c r="B229" s="17">
        <v>45906</v>
      </c>
      <c r="C229" s="18" t="s">
        <v>28</v>
      </c>
      <c r="D229" s="18" t="s">
        <v>20</v>
      </c>
      <c r="E229" s="18" t="s">
        <v>21</v>
      </c>
      <c r="F229" s="18" t="s">
        <v>22</v>
      </c>
      <c r="G229">
        <v>8</v>
      </c>
      <c r="H229">
        <v>227.69399999999999</v>
      </c>
      <c r="I229">
        <v>130.97399999999999</v>
      </c>
      <c r="J229">
        <v>773.76</v>
      </c>
      <c r="K229">
        <v>1821.5519999999999</v>
      </c>
    </row>
    <row r="230" spans="1:11" x14ac:dyDescent="0.25">
      <c r="A230">
        <v>143</v>
      </c>
      <c r="B230" s="17">
        <v>45735</v>
      </c>
      <c r="C230" s="18" t="s">
        <v>23</v>
      </c>
      <c r="D230" s="18" t="s">
        <v>16</v>
      </c>
      <c r="E230" s="18" t="s">
        <v>17</v>
      </c>
      <c r="F230" s="18" t="s">
        <v>30</v>
      </c>
      <c r="G230">
        <v>8</v>
      </c>
      <c r="H230">
        <v>279.99400000000003</v>
      </c>
      <c r="I230">
        <v>183.566</v>
      </c>
      <c r="J230">
        <v>771.42399999999998</v>
      </c>
      <c r="K230">
        <v>2239.9520000000002</v>
      </c>
    </row>
    <row r="231" spans="1:11" x14ac:dyDescent="0.25">
      <c r="A231">
        <v>91</v>
      </c>
      <c r="B231" s="17">
        <v>45985</v>
      </c>
      <c r="C231" s="18" t="s">
        <v>35</v>
      </c>
      <c r="D231" s="18" t="s">
        <v>29</v>
      </c>
      <c r="E231" s="18" t="s">
        <v>17</v>
      </c>
      <c r="F231" s="18" t="s">
        <v>14</v>
      </c>
      <c r="G231">
        <v>5</v>
      </c>
      <c r="H231">
        <v>191.072</v>
      </c>
      <c r="I231">
        <v>96.28</v>
      </c>
      <c r="J231">
        <v>473.96</v>
      </c>
      <c r="K231">
        <v>955.36</v>
      </c>
    </row>
    <row r="232" spans="1:11" x14ac:dyDescent="0.25">
      <c r="A232">
        <v>173</v>
      </c>
      <c r="B232" s="17">
        <v>45877</v>
      </c>
      <c r="C232" s="18" t="s">
        <v>34</v>
      </c>
      <c r="D232" s="18" t="s">
        <v>16</v>
      </c>
      <c r="E232" s="18" t="s">
        <v>24</v>
      </c>
      <c r="F232" s="18" t="s">
        <v>33</v>
      </c>
      <c r="G232">
        <v>7</v>
      </c>
      <c r="H232">
        <v>302.392</v>
      </c>
      <c r="I232">
        <v>210.58799999999999</v>
      </c>
      <c r="J232">
        <v>642.62800000000004</v>
      </c>
      <c r="K232">
        <v>2116.7440000000001</v>
      </c>
    </row>
    <row r="233" spans="1:11" x14ac:dyDescent="0.25">
      <c r="A233">
        <v>4</v>
      </c>
      <c r="B233" s="17">
        <v>45888</v>
      </c>
      <c r="C233" s="18" t="s">
        <v>26</v>
      </c>
      <c r="D233" s="18" t="s">
        <v>16</v>
      </c>
      <c r="E233" s="18" t="s">
        <v>24</v>
      </c>
      <c r="F233" s="18" t="s">
        <v>37</v>
      </c>
      <c r="G233">
        <v>7</v>
      </c>
      <c r="H233">
        <v>379.274</v>
      </c>
      <c r="I233">
        <v>289.36200000000002</v>
      </c>
      <c r="J233">
        <v>629.38400000000001</v>
      </c>
      <c r="K233">
        <v>2654.9180000000001</v>
      </c>
    </row>
    <row r="234" spans="1:11" x14ac:dyDescent="0.25">
      <c r="A234">
        <v>200</v>
      </c>
      <c r="B234" s="17">
        <v>45991</v>
      </c>
      <c r="C234" s="18" t="s">
        <v>23</v>
      </c>
      <c r="D234" s="18" t="s">
        <v>29</v>
      </c>
      <c r="E234" s="18" t="s">
        <v>17</v>
      </c>
      <c r="F234" s="18" t="s">
        <v>38</v>
      </c>
      <c r="G234">
        <v>9</v>
      </c>
      <c r="H234">
        <v>401.59800000000001</v>
      </c>
      <c r="I234">
        <v>312.34800000000001</v>
      </c>
      <c r="J234">
        <v>803.25</v>
      </c>
      <c r="K234">
        <v>3614.3820000000001</v>
      </c>
    </row>
    <row r="235" spans="1:11" x14ac:dyDescent="0.25">
      <c r="A235">
        <v>96</v>
      </c>
      <c r="B235" s="17">
        <v>45898</v>
      </c>
      <c r="C235" s="18" t="s">
        <v>43</v>
      </c>
      <c r="D235" s="18" t="s">
        <v>29</v>
      </c>
      <c r="E235" s="18" t="s">
        <v>13</v>
      </c>
      <c r="F235" s="18" t="s">
        <v>14</v>
      </c>
      <c r="G235">
        <v>5</v>
      </c>
      <c r="H235">
        <v>184.79599999999999</v>
      </c>
      <c r="I235">
        <v>96.22</v>
      </c>
      <c r="J235">
        <v>442.88</v>
      </c>
      <c r="K235">
        <v>923.98</v>
      </c>
    </row>
    <row r="236" spans="1:11" x14ac:dyDescent="0.25">
      <c r="A236">
        <v>168</v>
      </c>
      <c r="B236" s="17">
        <v>45631</v>
      </c>
      <c r="C236" s="18" t="s">
        <v>39</v>
      </c>
      <c r="D236" s="18" t="s">
        <v>16</v>
      </c>
      <c r="E236" s="18" t="s">
        <v>17</v>
      </c>
      <c r="F236" s="18" t="s">
        <v>18</v>
      </c>
      <c r="G236">
        <v>9</v>
      </c>
      <c r="H236">
        <v>221.25</v>
      </c>
      <c r="I236">
        <v>132.93199999999999</v>
      </c>
      <c r="J236">
        <v>794.86199999999997</v>
      </c>
      <c r="K236">
        <v>1991.25</v>
      </c>
    </row>
    <row r="237" spans="1:11" x14ac:dyDescent="0.25">
      <c r="A237">
        <v>287</v>
      </c>
      <c r="B237" s="17">
        <v>45771</v>
      </c>
      <c r="C237" s="18" t="s">
        <v>23</v>
      </c>
      <c r="D237" s="18" t="s">
        <v>16</v>
      </c>
      <c r="E237" s="18" t="s">
        <v>21</v>
      </c>
      <c r="F237" s="18" t="s">
        <v>22</v>
      </c>
      <c r="G237">
        <v>3</v>
      </c>
      <c r="H237">
        <v>175.38399999999999</v>
      </c>
      <c r="I237">
        <v>89.927999999999997</v>
      </c>
      <c r="J237">
        <v>256.36799999999999</v>
      </c>
      <c r="K237">
        <v>526.15200000000004</v>
      </c>
    </row>
    <row r="238" spans="1:11" x14ac:dyDescent="0.25">
      <c r="A238">
        <v>110</v>
      </c>
      <c r="B238" s="17">
        <v>45746</v>
      </c>
      <c r="C238" s="18" t="s">
        <v>43</v>
      </c>
      <c r="D238" s="18" t="s">
        <v>20</v>
      </c>
      <c r="E238" s="18" t="s">
        <v>21</v>
      </c>
      <c r="F238" s="18" t="s">
        <v>32</v>
      </c>
      <c r="G238">
        <v>5</v>
      </c>
      <c r="H238">
        <v>191.74799999999999</v>
      </c>
      <c r="I238">
        <v>107.07599999999999</v>
      </c>
      <c r="J238">
        <v>423.36</v>
      </c>
      <c r="K238">
        <v>958.74</v>
      </c>
    </row>
    <row r="239" spans="1:11" x14ac:dyDescent="0.25">
      <c r="A239">
        <v>184</v>
      </c>
      <c r="B239" s="17">
        <v>45930</v>
      </c>
      <c r="C239" s="18" t="s">
        <v>40</v>
      </c>
      <c r="D239" s="18" t="s">
        <v>12</v>
      </c>
      <c r="E239" s="18" t="s">
        <v>17</v>
      </c>
      <c r="F239" s="18" t="s">
        <v>22</v>
      </c>
      <c r="G239">
        <v>2</v>
      </c>
      <c r="H239">
        <v>226.548</v>
      </c>
      <c r="I239">
        <v>141.97399999999999</v>
      </c>
      <c r="J239">
        <v>169.148</v>
      </c>
      <c r="K239">
        <v>453.096</v>
      </c>
    </row>
    <row r="240" spans="1:11" x14ac:dyDescent="0.25">
      <c r="A240">
        <v>149</v>
      </c>
      <c r="B240" s="17">
        <v>45738</v>
      </c>
      <c r="C240" s="18" t="s">
        <v>31</v>
      </c>
      <c r="D240" s="18" t="s">
        <v>12</v>
      </c>
      <c r="E240" s="18" t="s">
        <v>36</v>
      </c>
      <c r="F240" s="18" t="s">
        <v>22</v>
      </c>
      <c r="G240">
        <v>2</v>
      </c>
      <c r="H240">
        <v>383.91</v>
      </c>
      <c r="I240">
        <v>299.80799999999999</v>
      </c>
      <c r="J240">
        <v>168.20400000000001</v>
      </c>
      <c r="K240">
        <v>767.82</v>
      </c>
    </row>
    <row r="241" spans="1:11" x14ac:dyDescent="0.25">
      <c r="A241">
        <v>21</v>
      </c>
      <c r="B241" s="17">
        <v>45968</v>
      </c>
      <c r="C241" s="18" t="s">
        <v>41</v>
      </c>
      <c r="D241" s="18" t="s">
        <v>29</v>
      </c>
      <c r="E241" s="18" t="s">
        <v>36</v>
      </c>
      <c r="F241" s="18" t="s">
        <v>37</v>
      </c>
      <c r="G241">
        <v>4</v>
      </c>
      <c r="H241">
        <v>372.72199999999998</v>
      </c>
      <c r="I241">
        <v>289.738</v>
      </c>
      <c r="J241">
        <v>331.93599999999998</v>
      </c>
      <c r="K241">
        <v>1490.8879999999999</v>
      </c>
    </row>
    <row r="242" spans="1:11" x14ac:dyDescent="0.25">
      <c r="A242">
        <v>271</v>
      </c>
      <c r="B242" s="17">
        <v>45924</v>
      </c>
      <c r="C242" s="18" t="s">
        <v>43</v>
      </c>
      <c r="D242" s="18" t="s">
        <v>27</v>
      </c>
      <c r="E242" s="18" t="s">
        <v>36</v>
      </c>
      <c r="F242" s="18" t="s">
        <v>38</v>
      </c>
      <c r="G242">
        <v>6</v>
      </c>
      <c r="H242">
        <v>314.334</v>
      </c>
      <c r="I242">
        <v>234.25399999999999</v>
      </c>
      <c r="J242">
        <v>480.48</v>
      </c>
      <c r="K242">
        <v>1886.0039999999999</v>
      </c>
    </row>
    <row r="243" spans="1:11" x14ac:dyDescent="0.25">
      <c r="A243">
        <v>139</v>
      </c>
      <c r="B243" s="17">
        <v>45895</v>
      </c>
      <c r="C243" s="18" t="s">
        <v>19</v>
      </c>
      <c r="D243" s="18" t="s">
        <v>27</v>
      </c>
      <c r="E243" s="18" t="s">
        <v>36</v>
      </c>
      <c r="F243" s="18" t="s">
        <v>32</v>
      </c>
      <c r="G243">
        <v>10</v>
      </c>
      <c r="H243">
        <v>279.01</v>
      </c>
      <c r="I243">
        <v>200.11</v>
      </c>
      <c r="J243">
        <v>789</v>
      </c>
      <c r="K243">
        <v>2790.1</v>
      </c>
    </row>
    <row r="244" spans="1:11" x14ac:dyDescent="0.25">
      <c r="A244">
        <v>154</v>
      </c>
      <c r="B244" s="17">
        <v>45732</v>
      </c>
      <c r="C244" s="18" t="s">
        <v>34</v>
      </c>
      <c r="D244" s="18" t="s">
        <v>16</v>
      </c>
      <c r="E244" s="18" t="s">
        <v>17</v>
      </c>
      <c r="F244" s="18" t="s">
        <v>37</v>
      </c>
      <c r="G244">
        <v>2</v>
      </c>
      <c r="H244">
        <v>223.77799999999999</v>
      </c>
      <c r="I244">
        <v>145.11799999999999</v>
      </c>
      <c r="J244">
        <v>157.32</v>
      </c>
      <c r="K244">
        <v>447.55599999999998</v>
      </c>
    </row>
    <row r="245" spans="1:11" x14ac:dyDescent="0.25">
      <c r="A245">
        <v>7</v>
      </c>
      <c r="B245" s="17">
        <v>45970</v>
      </c>
      <c r="C245" s="18" t="s">
        <v>11</v>
      </c>
      <c r="D245" s="18" t="s">
        <v>29</v>
      </c>
      <c r="E245" s="18" t="s">
        <v>13</v>
      </c>
      <c r="F245" s="18" t="s">
        <v>18</v>
      </c>
      <c r="G245">
        <v>4</v>
      </c>
      <c r="H245">
        <v>275.01400000000001</v>
      </c>
      <c r="I245">
        <v>199.18799999999999</v>
      </c>
      <c r="J245">
        <v>303.30399999999997</v>
      </c>
      <c r="K245">
        <v>1100.056</v>
      </c>
    </row>
    <row r="246" spans="1:11" x14ac:dyDescent="0.25">
      <c r="A246">
        <v>117</v>
      </c>
      <c r="B246" s="17">
        <v>45983</v>
      </c>
      <c r="C246" s="18" t="s">
        <v>28</v>
      </c>
      <c r="D246" s="18" t="s">
        <v>27</v>
      </c>
      <c r="E246" s="18" t="s">
        <v>13</v>
      </c>
      <c r="F246" s="18" t="s">
        <v>38</v>
      </c>
      <c r="G246">
        <v>8</v>
      </c>
      <c r="H246">
        <v>255.65</v>
      </c>
      <c r="I246">
        <v>180.40600000000001</v>
      </c>
      <c r="J246">
        <v>601.952</v>
      </c>
      <c r="K246">
        <v>2045.2</v>
      </c>
    </row>
    <row r="247" spans="1:11" x14ac:dyDescent="0.25">
      <c r="A247">
        <v>174</v>
      </c>
      <c r="B247" s="17">
        <v>45756</v>
      </c>
      <c r="C247" s="18" t="s">
        <v>39</v>
      </c>
      <c r="D247" s="18" t="s">
        <v>20</v>
      </c>
      <c r="E247" s="18" t="s">
        <v>17</v>
      </c>
      <c r="F247" s="18" t="s">
        <v>18</v>
      </c>
      <c r="G247">
        <v>8</v>
      </c>
      <c r="H247">
        <v>172.06800000000001</v>
      </c>
      <c r="I247">
        <v>97.596000000000004</v>
      </c>
      <c r="J247">
        <v>595.77599999999995</v>
      </c>
      <c r="K247">
        <v>1376.5440000000001</v>
      </c>
    </row>
    <row r="248" spans="1:11" x14ac:dyDescent="0.25">
      <c r="A248">
        <v>240</v>
      </c>
      <c r="B248" s="17">
        <v>45940</v>
      </c>
      <c r="C248" s="18" t="s">
        <v>11</v>
      </c>
      <c r="D248" s="18" t="s">
        <v>27</v>
      </c>
      <c r="E248" s="18" t="s">
        <v>17</v>
      </c>
      <c r="F248" s="18" t="s">
        <v>32</v>
      </c>
      <c r="G248">
        <v>5</v>
      </c>
      <c r="H248">
        <v>155.268</v>
      </c>
      <c r="I248">
        <v>82.293999999999997</v>
      </c>
      <c r="J248">
        <v>364.87</v>
      </c>
      <c r="K248">
        <v>776.34</v>
      </c>
    </row>
    <row r="249" spans="1:11" x14ac:dyDescent="0.25">
      <c r="A249">
        <v>262</v>
      </c>
      <c r="B249" s="17">
        <v>45796</v>
      </c>
      <c r="C249" s="18" t="s">
        <v>26</v>
      </c>
      <c r="D249" s="18" t="s">
        <v>16</v>
      </c>
      <c r="E249" s="18" t="s">
        <v>17</v>
      </c>
      <c r="F249" s="18" t="s">
        <v>25</v>
      </c>
      <c r="G249">
        <v>3</v>
      </c>
      <c r="H249">
        <v>154.524</v>
      </c>
      <c r="I249">
        <v>81.626000000000005</v>
      </c>
      <c r="J249">
        <v>218.69399999999999</v>
      </c>
      <c r="K249">
        <v>463.572</v>
      </c>
    </row>
    <row r="250" spans="1:11" x14ac:dyDescent="0.25">
      <c r="A250">
        <v>17</v>
      </c>
      <c r="B250" s="17">
        <v>45961</v>
      </c>
      <c r="C250" s="18" t="s">
        <v>42</v>
      </c>
      <c r="D250" s="18" t="s">
        <v>12</v>
      </c>
      <c r="E250" s="18" t="s">
        <v>24</v>
      </c>
      <c r="F250" s="18" t="s">
        <v>30</v>
      </c>
      <c r="G250">
        <v>10</v>
      </c>
      <c r="H250">
        <v>226.61600000000001</v>
      </c>
      <c r="I250">
        <v>153.774</v>
      </c>
      <c r="J250">
        <v>728.42</v>
      </c>
      <c r="K250">
        <v>2266.16</v>
      </c>
    </row>
    <row r="251" spans="1:11" x14ac:dyDescent="0.25">
      <c r="A251">
        <v>220</v>
      </c>
      <c r="B251" s="17">
        <v>45747</v>
      </c>
      <c r="C251" s="18" t="s">
        <v>28</v>
      </c>
      <c r="D251" s="18" t="s">
        <v>27</v>
      </c>
      <c r="E251" s="18" t="s">
        <v>36</v>
      </c>
      <c r="F251" s="18" t="s">
        <v>37</v>
      </c>
      <c r="G251">
        <v>4</v>
      </c>
      <c r="H251">
        <v>201.10599999999999</v>
      </c>
      <c r="I251">
        <v>129.51400000000001</v>
      </c>
      <c r="J251">
        <v>286.36799999999999</v>
      </c>
      <c r="K251">
        <v>804.42399999999998</v>
      </c>
    </row>
    <row r="252" spans="1:11" x14ac:dyDescent="0.25">
      <c r="A252">
        <v>246</v>
      </c>
      <c r="B252" s="17">
        <v>45633</v>
      </c>
      <c r="C252" s="18" t="s">
        <v>43</v>
      </c>
      <c r="D252" s="18" t="s">
        <v>12</v>
      </c>
      <c r="E252" s="18" t="s">
        <v>36</v>
      </c>
      <c r="F252" s="18" t="s">
        <v>38</v>
      </c>
      <c r="G252">
        <v>7</v>
      </c>
      <c r="H252">
        <v>237.404</v>
      </c>
      <c r="I252">
        <v>167.06</v>
      </c>
      <c r="J252">
        <v>492.40800000000002</v>
      </c>
      <c r="K252">
        <v>1661.828</v>
      </c>
    </row>
    <row r="253" spans="1:11" x14ac:dyDescent="0.25">
      <c r="A253">
        <v>86</v>
      </c>
      <c r="B253" s="17">
        <v>45799</v>
      </c>
      <c r="C253" s="18" t="s">
        <v>39</v>
      </c>
      <c r="D253" s="18" t="s">
        <v>29</v>
      </c>
      <c r="E253" s="18" t="s">
        <v>24</v>
      </c>
      <c r="F253" s="18" t="s">
        <v>33</v>
      </c>
      <c r="G253">
        <v>8</v>
      </c>
      <c r="H253">
        <v>228.214</v>
      </c>
      <c r="I253">
        <v>158.28200000000001</v>
      </c>
      <c r="J253">
        <v>559.45600000000002</v>
      </c>
      <c r="K253">
        <v>1825.712</v>
      </c>
    </row>
    <row r="254" spans="1:11" x14ac:dyDescent="0.25">
      <c r="A254">
        <v>289</v>
      </c>
      <c r="B254" s="17">
        <v>45736</v>
      </c>
      <c r="C254" s="18" t="s">
        <v>15</v>
      </c>
      <c r="D254" s="18" t="s">
        <v>16</v>
      </c>
      <c r="E254" s="18" t="s">
        <v>17</v>
      </c>
      <c r="F254" s="18" t="s">
        <v>44</v>
      </c>
      <c r="G254">
        <v>3</v>
      </c>
      <c r="H254">
        <v>168.65199999999999</v>
      </c>
      <c r="I254">
        <v>98.867999999999995</v>
      </c>
      <c r="J254">
        <v>209.352</v>
      </c>
      <c r="K254">
        <v>505.95600000000002</v>
      </c>
    </row>
    <row r="255" spans="1:11" x14ac:dyDescent="0.25">
      <c r="A255">
        <v>145</v>
      </c>
      <c r="B255" s="17">
        <v>45843</v>
      </c>
      <c r="C255" s="18" t="s">
        <v>15</v>
      </c>
      <c r="D255" s="18" t="s">
        <v>29</v>
      </c>
      <c r="E255" s="18" t="s">
        <v>17</v>
      </c>
      <c r="F255" s="18" t="s">
        <v>32</v>
      </c>
      <c r="G255">
        <v>9</v>
      </c>
      <c r="H255">
        <v>191.01</v>
      </c>
      <c r="I255">
        <v>123.366</v>
      </c>
      <c r="J255">
        <v>608.79600000000005</v>
      </c>
      <c r="K255">
        <v>1719.09</v>
      </c>
    </row>
    <row r="256" spans="1:11" x14ac:dyDescent="0.25">
      <c r="A256">
        <v>6</v>
      </c>
      <c r="B256" s="17">
        <v>45952</v>
      </c>
      <c r="C256" s="18" t="s">
        <v>40</v>
      </c>
      <c r="D256" s="18" t="s">
        <v>29</v>
      </c>
      <c r="E256" s="18" t="s">
        <v>21</v>
      </c>
      <c r="F256" s="18" t="s">
        <v>25</v>
      </c>
      <c r="G256">
        <v>10</v>
      </c>
      <c r="H256">
        <v>216.89599999999999</v>
      </c>
      <c r="I256">
        <v>153.03800000000001</v>
      </c>
      <c r="J256">
        <v>638.58000000000004</v>
      </c>
      <c r="K256">
        <v>2168.96</v>
      </c>
    </row>
    <row r="257" spans="1:11" x14ac:dyDescent="0.25">
      <c r="A257">
        <v>66</v>
      </c>
      <c r="B257" s="17">
        <v>45771</v>
      </c>
      <c r="C257" s="18" t="s">
        <v>41</v>
      </c>
      <c r="D257" s="18" t="s">
        <v>20</v>
      </c>
      <c r="E257" s="18" t="s">
        <v>24</v>
      </c>
      <c r="F257" s="18" t="s">
        <v>30</v>
      </c>
      <c r="G257">
        <v>9</v>
      </c>
      <c r="H257">
        <v>315.07</v>
      </c>
      <c r="I257">
        <v>251.71799999999999</v>
      </c>
      <c r="J257">
        <v>570.16800000000001</v>
      </c>
      <c r="K257">
        <v>2835.63</v>
      </c>
    </row>
    <row r="258" spans="1:11" x14ac:dyDescent="0.25">
      <c r="A258">
        <v>41</v>
      </c>
      <c r="B258" s="17">
        <v>45884</v>
      </c>
      <c r="C258" s="18" t="s">
        <v>31</v>
      </c>
      <c r="D258" s="18" t="s">
        <v>12</v>
      </c>
      <c r="E258" s="18" t="s">
        <v>17</v>
      </c>
      <c r="F258" s="18" t="s">
        <v>30</v>
      </c>
      <c r="G258">
        <v>3</v>
      </c>
      <c r="H258">
        <v>246.1</v>
      </c>
      <c r="I258">
        <v>182.88399999999999</v>
      </c>
      <c r="J258">
        <v>189.648</v>
      </c>
      <c r="K258">
        <v>738.3</v>
      </c>
    </row>
    <row r="259" spans="1:11" x14ac:dyDescent="0.25">
      <c r="A259">
        <v>51</v>
      </c>
      <c r="B259" s="17">
        <v>45929</v>
      </c>
      <c r="C259" s="18" t="s">
        <v>41</v>
      </c>
      <c r="D259" s="18" t="s">
        <v>29</v>
      </c>
      <c r="E259" s="18" t="s">
        <v>21</v>
      </c>
      <c r="F259" s="18" t="s">
        <v>18</v>
      </c>
      <c r="G259">
        <v>3</v>
      </c>
      <c r="H259">
        <v>251.87799999999999</v>
      </c>
      <c r="I259">
        <v>191.428</v>
      </c>
      <c r="J259">
        <v>181.35</v>
      </c>
      <c r="K259">
        <v>755.63400000000001</v>
      </c>
    </row>
    <row r="260" spans="1:11" x14ac:dyDescent="0.25">
      <c r="A260">
        <v>258</v>
      </c>
      <c r="B260" s="17">
        <v>45772</v>
      </c>
      <c r="C260" s="18" t="s">
        <v>39</v>
      </c>
      <c r="D260" s="18" t="s">
        <v>27</v>
      </c>
      <c r="E260" s="18" t="s">
        <v>36</v>
      </c>
      <c r="F260" s="18" t="s">
        <v>14</v>
      </c>
      <c r="G260">
        <v>5</v>
      </c>
      <c r="H260">
        <v>193.22399999999999</v>
      </c>
      <c r="I260">
        <v>139.08799999999999</v>
      </c>
      <c r="J260">
        <v>270.68</v>
      </c>
      <c r="K260">
        <v>966.12</v>
      </c>
    </row>
    <row r="261" spans="1:11" x14ac:dyDescent="0.25">
      <c r="A261">
        <v>39</v>
      </c>
      <c r="B261" s="17">
        <v>45853</v>
      </c>
      <c r="C261" s="18" t="s">
        <v>26</v>
      </c>
      <c r="D261" s="18" t="s">
        <v>29</v>
      </c>
      <c r="E261" s="18" t="s">
        <v>17</v>
      </c>
      <c r="F261" s="18" t="s">
        <v>14</v>
      </c>
      <c r="G261">
        <v>10</v>
      </c>
      <c r="H261">
        <v>261.81400000000002</v>
      </c>
      <c r="I261">
        <v>209.21</v>
      </c>
      <c r="J261">
        <v>526.04</v>
      </c>
      <c r="K261">
        <v>2618.14</v>
      </c>
    </row>
    <row r="262" spans="1:11" x14ac:dyDescent="0.25">
      <c r="A262">
        <v>229</v>
      </c>
      <c r="B262" s="17">
        <v>45825</v>
      </c>
      <c r="C262" s="18" t="s">
        <v>19</v>
      </c>
      <c r="D262" s="18" t="s">
        <v>16</v>
      </c>
      <c r="E262" s="18" t="s">
        <v>24</v>
      </c>
      <c r="F262" s="18" t="s">
        <v>38</v>
      </c>
      <c r="G262">
        <v>7</v>
      </c>
      <c r="H262">
        <v>135.81</v>
      </c>
      <c r="I262">
        <v>84.841999999999999</v>
      </c>
      <c r="J262">
        <v>356.77600000000001</v>
      </c>
      <c r="K262">
        <v>950.67</v>
      </c>
    </row>
    <row r="263" spans="1:11" x14ac:dyDescent="0.25">
      <c r="A263">
        <v>279</v>
      </c>
      <c r="B263" s="17">
        <v>45735</v>
      </c>
      <c r="C263" s="18" t="s">
        <v>40</v>
      </c>
      <c r="D263" s="18" t="s">
        <v>12</v>
      </c>
      <c r="E263" s="18" t="s">
        <v>13</v>
      </c>
      <c r="F263" s="18" t="s">
        <v>32</v>
      </c>
      <c r="G263">
        <v>5</v>
      </c>
      <c r="H263">
        <v>128.65</v>
      </c>
      <c r="I263">
        <v>78.052000000000007</v>
      </c>
      <c r="J263">
        <v>252.99</v>
      </c>
      <c r="K263">
        <v>643.25</v>
      </c>
    </row>
    <row r="264" spans="1:11" x14ac:dyDescent="0.25">
      <c r="A264">
        <v>54</v>
      </c>
      <c r="B264" s="17">
        <v>45964</v>
      </c>
      <c r="C264" s="18" t="s">
        <v>26</v>
      </c>
      <c r="D264" s="18" t="s">
        <v>20</v>
      </c>
      <c r="E264" s="18" t="s">
        <v>36</v>
      </c>
      <c r="F264" s="18" t="s">
        <v>14</v>
      </c>
      <c r="G264">
        <v>1</v>
      </c>
      <c r="H264">
        <v>175.87200000000001</v>
      </c>
      <c r="I264">
        <v>126.358</v>
      </c>
      <c r="J264">
        <v>49.514000000000003</v>
      </c>
      <c r="K264">
        <v>175.87200000000001</v>
      </c>
    </row>
    <row r="265" spans="1:11" x14ac:dyDescent="0.25">
      <c r="A265">
        <v>261</v>
      </c>
      <c r="B265" s="17">
        <v>45715</v>
      </c>
      <c r="C265" s="18" t="s">
        <v>19</v>
      </c>
      <c r="D265" s="18" t="s">
        <v>16</v>
      </c>
      <c r="E265" s="18" t="s">
        <v>13</v>
      </c>
      <c r="F265" s="18" t="s">
        <v>14</v>
      </c>
      <c r="G265">
        <v>3</v>
      </c>
      <c r="H265">
        <v>127.066</v>
      </c>
      <c r="I265">
        <v>80.251999999999995</v>
      </c>
      <c r="J265">
        <v>140.44200000000001</v>
      </c>
      <c r="K265">
        <v>381.19799999999998</v>
      </c>
    </row>
    <row r="266" spans="1:11" x14ac:dyDescent="0.25">
      <c r="A266">
        <v>135</v>
      </c>
      <c r="B266" s="17">
        <v>45823</v>
      </c>
      <c r="C266" s="18" t="s">
        <v>11</v>
      </c>
      <c r="D266" s="18" t="s">
        <v>27</v>
      </c>
      <c r="E266" s="18" t="s">
        <v>17</v>
      </c>
      <c r="F266" s="18" t="s">
        <v>18</v>
      </c>
      <c r="G266">
        <v>8</v>
      </c>
      <c r="H266">
        <v>151.52799999999999</v>
      </c>
      <c r="I266">
        <v>105.524</v>
      </c>
      <c r="J266">
        <v>368.03199999999998</v>
      </c>
      <c r="K266">
        <v>1212.2239999999999</v>
      </c>
    </row>
    <row r="267" spans="1:11" x14ac:dyDescent="0.25">
      <c r="A267">
        <v>78</v>
      </c>
      <c r="B267" s="17">
        <v>45929</v>
      </c>
      <c r="C267" s="18" t="s">
        <v>40</v>
      </c>
      <c r="D267" s="18" t="s">
        <v>16</v>
      </c>
      <c r="E267" s="18" t="s">
        <v>21</v>
      </c>
      <c r="F267" s="18" t="s">
        <v>32</v>
      </c>
      <c r="G267">
        <v>1</v>
      </c>
      <c r="H267">
        <v>199.13399999999999</v>
      </c>
      <c r="I267">
        <v>155.934</v>
      </c>
      <c r="J267">
        <v>43.2</v>
      </c>
      <c r="K267">
        <v>199.13399999999999</v>
      </c>
    </row>
    <row r="268" spans="1:11" x14ac:dyDescent="0.25">
      <c r="A268">
        <v>155</v>
      </c>
      <c r="B268" s="17">
        <v>45666</v>
      </c>
      <c r="C268" s="18" t="s">
        <v>19</v>
      </c>
      <c r="D268" s="18" t="s">
        <v>29</v>
      </c>
      <c r="E268" s="18" t="s">
        <v>36</v>
      </c>
      <c r="F268" s="18" t="s">
        <v>18</v>
      </c>
      <c r="G268">
        <v>1</v>
      </c>
      <c r="H268">
        <v>192.80600000000001</v>
      </c>
      <c r="I268">
        <v>149.732</v>
      </c>
      <c r="J268">
        <v>43.073999999999998</v>
      </c>
      <c r="K268">
        <v>192.80600000000001</v>
      </c>
    </row>
    <row r="269" spans="1:11" x14ac:dyDescent="0.25">
      <c r="A269">
        <v>208</v>
      </c>
      <c r="B269" s="17">
        <v>45848</v>
      </c>
      <c r="C269" s="18" t="s">
        <v>31</v>
      </c>
      <c r="D269" s="18" t="s">
        <v>27</v>
      </c>
      <c r="E269" s="18" t="s">
        <v>24</v>
      </c>
      <c r="F269" s="18" t="s">
        <v>25</v>
      </c>
      <c r="G269">
        <v>4</v>
      </c>
      <c r="H269">
        <v>191.536</v>
      </c>
      <c r="I269">
        <v>150.68600000000001</v>
      </c>
      <c r="J269">
        <v>163.4</v>
      </c>
      <c r="K269">
        <v>766.14400000000001</v>
      </c>
    </row>
    <row r="270" spans="1:11" x14ac:dyDescent="0.25">
      <c r="A270">
        <v>252</v>
      </c>
      <c r="B270" s="17">
        <v>45690</v>
      </c>
      <c r="C270" s="18" t="s">
        <v>35</v>
      </c>
      <c r="D270" s="18" t="s">
        <v>29</v>
      </c>
      <c r="E270" s="18" t="s">
        <v>13</v>
      </c>
      <c r="F270" s="18" t="s">
        <v>18</v>
      </c>
      <c r="G270">
        <v>7</v>
      </c>
      <c r="H270">
        <v>124.494</v>
      </c>
      <c r="I270">
        <v>84.391999999999996</v>
      </c>
      <c r="J270">
        <v>280.714</v>
      </c>
      <c r="K270">
        <v>871.45799999999997</v>
      </c>
    </row>
    <row r="271" spans="1:11" x14ac:dyDescent="0.25">
      <c r="A271">
        <v>164</v>
      </c>
      <c r="B271" s="17">
        <v>45846</v>
      </c>
      <c r="C271" s="18" t="s">
        <v>28</v>
      </c>
      <c r="D271" s="18" t="s">
        <v>27</v>
      </c>
      <c r="E271" s="18" t="s">
        <v>24</v>
      </c>
      <c r="F271" s="18" t="s">
        <v>18</v>
      </c>
      <c r="G271">
        <v>10</v>
      </c>
      <c r="H271">
        <v>137.072</v>
      </c>
      <c r="I271">
        <v>98.055999999999997</v>
      </c>
      <c r="J271">
        <v>390.16</v>
      </c>
      <c r="K271">
        <v>1370.72</v>
      </c>
    </row>
    <row r="272" spans="1:11" x14ac:dyDescent="0.25">
      <c r="A272">
        <v>237</v>
      </c>
      <c r="B272" s="17">
        <v>45913</v>
      </c>
      <c r="C272" s="18" t="s">
        <v>34</v>
      </c>
      <c r="D272" s="18" t="s">
        <v>16</v>
      </c>
      <c r="E272" s="18" t="s">
        <v>17</v>
      </c>
      <c r="F272" s="18" t="s">
        <v>44</v>
      </c>
      <c r="G272">
        <v>4</v>
      </c>
      <c r="H272">
        <v>79.292000000000002</v>
      </c>
      <c r="I272">
        <v>43.613999999999997</v>
      </c>
      <c r="J272">
        <v>142.71199999999999</v>
      </c>
      <c r="K272">
        <v>317.16800000000001</v>
      </c>
    </row>
    <row r="273" spans="1:11" x14ac:dyDescent="0.25">
      <c r="A273">
        <v>235</v>
      </c>
      <c r="B273" s="17">
        <v>45939</v>
      </c>
      <c r="C273" s="18" t="s">
        <v>42</v>
      </c>
      <c r="D273" s="18" t="s">
        <v>16</v>
      </c>
      <c r="E273" s="18" t="s">
        <v>13</v>
      </c>
      <c r="F273" s="18" t="s">
        <v>44</v>
      </c>
      <c r="G273">
        <v>10</v>
      </c>
      <c r="H273">
        <v>173.25</v>
      </c>
      <c r="I273">
        <v>138.16</v>
      </c>
      <c r="J273">
        <v>350.9</v>
      </c>
      <c r="K273">
        <v>1732.5</v>
      </c>
    </row>
    <row r="274" spans="1:11" x14ac:dyDescent="0.25">
      <c r="A274">
        <v>222</v>
      </c>
      <c r="B274" s="17">
        <v>45809</v>
      </c>
      <c r="C274" s="18" t="s">
        <v>15</v>
      </c>
      <c r="D274" s="18" t="s">
        <v>12</v>
      </c>
      <c r="E274" s="18" t="s">
        <v>17</v>
      </c>
      <c r="F274" s="18" t="s">
        <v>33</v>
      </c>
      <c r="G274">
        <v>1</v>
      </c>
      <c r="H274">
        <v>84.254000000000005</v>
      </c>
      <c r="I274">
        <v>52.408000000000001</v>
      </c>
      <c r="J274">
        <v>31.846</v>
      </c>
      <c r="K274">
        <v>84.254000000000005</v>
      </c>
    </row>
    <row r="275" spans="1:11" x14ac:dyDescent="0.25">
      <c r="A275">
        <v>2</v>
      </c>
      <c r="B275" s="17">
        <v>45948</v>
      </c>
      <c r="C275" s="18" t="s">
        <v>42</v>
      </c>
      <c r="D275" s="18" t="s">
        <v>29</v>
      </c>
      <c r="E275" s="18" t="s">
        <v>21</v>
      </c>
      <c r="F275" s="18" t="s">
        <v>14</v>
      </c>
      <c r="G275">
        <v>3</v>
      </c>
      <c r="H275">
        <v>102.31</v>
      </c>
      <c r="I275">
        <v>71.268000000000001</v>
      </c>
      <c r="J275">
        <v>93.126000000000005</v>
      </c>
      <c r="K275">
        <v>306.93</v>
      </c>
    </row>
    <row r="276" spans="1:11" x14ac:dyDescent="0.25">
      <c r="A276">
        <v>179</v>
      </c>
      <c r="B276" s="17">
        <v>45839</v>
      </c>
      <c r="C276" s="18" t="s">
        <v>28</v>
      </c>
      <c r="D276" s="18" t="s">
        <v>27</v>
      </c>
      <c r="E276" s="18" t="s">
        <v>24</v>
      </c>
      <c r="F276" s="18" t="s">
        <v>37</v>
      </c>
      <c r="G276">
        <v>3</v>
      </c>
      <c r="H276">
        <v>148</v>
      </c>
      <c r="I276">
        <v>118.104</v>
      </c>
      <c r="J276">
        <v>89.688000000000002</v>
      </c>
      <c r="K276">
        <v>444</v>
      </c>
    </row>
    <row r="277" spans="1:11" x14ac:dyDescent="0.25">
      <c r="A277">
        <v>281</v>
      </c>
      <c r="B277" s="17">
        <v>45736</v>
      </c>
      <c r="C277" s="18" t="s">
        <v>35</v>
      </c>
      <c r="D277" s="18" t="s">
        <v>27</v>
      </c>
      <c r="E277" s="18" t="s">
        <v>36</v>
      </c>
      <c r="F277" s="18" t="s">
        <v>32</v>
      </c>
      <c r="G277">
        <v>1</v>
      </c>
      <c r="H277">
        <v>135.21799999999999</v>
      </c>
      <c r="I277">
        <v>105.386</v>
      </c>
      <c r="J277">
        <v>29.832000000000001</v>
      </c>
      <c r="K277">
        <v>135.21799999999999</v>
      </c>
    </row>
    <row r="278" spans="1:11" x14ac:dyDescent="0.25">
      <c r="A278">
        <v>71</v>
      </c>
      <c r="B278" s="17">
        <v>45926</v>
      </c>
      <c r="C278" s="18" t="s">
        <v>39</v>
      </c>
      <c r="D278" s="18" t="s">
        <v>29</v>
      </c>
      <c r="E278" s="18" t="s">
        <v>13</v>
      </c>
      <c r="F278" s="18" t="s">
        <v>33</v>
      </c>
      <c r="G278">
        <v>5</v>
      </c>
      <c r="H278">
        <v>127.58</v>
      </c>
      <c r="I278">
        <v>98.042000000000002</v>
      </c>
      <c r="J278">
        <v>147.69</v>
      </c>
      <c r="K278">
        <v>637.9</v>
      </c>
    </row>
    <row r="279" spans="1:11" x14ac:dyDescent="0.25">
      <c r="A279">
        <v>170</v>
      </c>
      <c r="B279" s="17">
        <v>45778</v>
      </c>
      <c r="C279" s="18" t="s">
        <v>35</v>
      </c>
      <c r="D279" s="18" t="s">
        <v>29</v>
      </c>
      <c r="E279" s="18" t="s">
        <v>21</v>
      </c>
      <c r="F279" s="18" t="s">
        <v>25</v>
      </c>
      <c r="G279">
        <v>10</v>
      </c>
      <c r="H279">
        <v>135.65199999999999</v>
      </c>
      <c r="I279">
        <v>106.816</v>
      </c>
      <c r="J279">
        <v>288.36</v>
      </c>
      <c r="K279">
        <v>1356.52</v>
      </c>
    </row>
    <row r="280" spans="1:11" x14ac:dyDescent="0.25">
      <c r="A280">
        <v>92</v>
      </c>
      <c r="B280" s="17">
        <v>45830</v>
      </c>
      <c r="C280" s="18" t="s">
        <v>35</v>
      </c>
      <c r="D280" s="18" t="s">
        <v>29</v>
      </c>
      <c r="E280" s="18" t="s">
        <v>13</v>
      </c>
      <c r="F280" s="18" t="s">
        <v>32</v>
      </c>
      <c r="G280">
        <v>8</v>
      </c>
      <c r="H280">
        <v>137.88200000000001</v>
      </c>
      <c r="I280">
        <v>109.322</v>
      </c>
      <c r="J280">
        <v>228.48</v>
      </c>
      <c r="K280">
        <v>1103.056</v>
      </c>
    </row>
    <row r="281" spans="1:11" x14ac:dyDescent="0.25">
      <c r="A281">
        <v>256</v>
      </c>
      <c r="B281" s="17">
        <v>45688</v>
      </c>
      <c r="C281" s="18" t="s">
        <v>31</v>
      </c>
      <c r="D281" s="18" t="s">
        <v>20</v>
      </c>
      <c r="E281" s="18" t="s">
        <v>21</v>
      </c>
      <c r="F281" s="18" t="s">
        <v>33</v>
      </c>
      <c r="G281">
        <v>7</v>
      </c>
      <c r="H281">
        <v>114.88</v>
      </c>
      <c r="I281">
        <v>86.492000000000004</v>
      </c>
      <c r="J281">
        <v>198.71600000000001</v>
      </c>
      <c r="K281">
        <v>804.16</v>
      </c>
    </row>
    <row r="282" spans="1:11" x14ac:dyDescent="0.25">
      <c r="A282">
        <v>175</v>
      </c>
      <c r="B282" s="17">
        <v>45976</v>
      </c>
      <c r="C282" s="18" t="s">
        <v>26</v>
      </c>
      <c r="D282" s="18" t="s">
        <v>27</v>
      </c>
      <c r="E282" s="18" t="s">
        <v>36</v>
      </c>
      <c r="F282" s="18" t="s">
        <v>33</v>
      </c>
      <c r="G282">
        <v>3</v>
      </c>
      <c r="H282">
        <v>85.2</v>
      </c>
      <c r="I282">
        <v>59.128</v>
      </c>
      <c r="J282">
        <v>78.215999999999994</v>
      </c>
      <c r="K282">
        <v>255.6</v>
      </c>
    </row>
    <row r="283" spans="1:11" x14ac:dyDescent="0.25">
      <c r="A283">
        <v>137</v>
      </c>
      <c r="B283" s="17">
        <v>45968</v>
      </c>
      <c r="C283" s="18" t="s">
        <v>35</v>
      </c>
      <c r="D283" s="18" t="s">
        <v>29</v>
      </c>
      <c r="E283" s="18" t="s">
        <v>36</v>
      </c>
      <c r="F283" s="18" t="s">
        <v>25</v>
      </c>
      <c r="G283">
        <v>6</v>
      </c>
      <c r="H283">
        <v>102.592</v>
      </c>
      <c r="I283">
        <v>76.861999999999995</v>
      </c>
      <c r="J283">
        <v>154.38</v>
      </c>
      <c r="K283">
        <v>615.55200000000002</v>
      </c>
    </row>
    <row r="284" spans="1:11" x14ac:dyDescent="0.25">
      <c r="A284">
        <v>115</v>
      </c>
      <c r="B284" s="17">
        <v>45698</v>
      </c>
      <c r="C284" s="18" t="s">
        <v>43</v>
      </c>
      <c r="D284" s="18" t="s">
        <v>12</v>
      </c>
      <c r="E284" s="18" t="s">
        <v>21</v>
      </c>
      <c r="F284" s="18" t="s">
        <v>30</v>
      </c>
      <c r="G284">
        <v>9</v>
      </c>
      <c r="H284">
        <v>115.69199999999999</v>
      </c>
      <c r="I284">
        <v>90.215999999999994</v>
      </c>
      <c r="J284">
        <v>229.28399999999999</v>
      </c>
      <c r="K284">
        <v>1041.2280000000001</v>
      </c>
    </row>
    <row r="285" spans="1:11" x14ac:dyDescent="0.25">
      <c r="A285">
        <v>34</v>
      </c>
      <c r="B285" s="17">
        <v>45758</v>
      </c>
      <c r="C285" s="18" t="s">
        <v>11</v>
      </c>
      <c r="D285" s="18" t="s">
        <v>12</v>
      </c>
      <c r="E285" s="18" t="s">
        <v>17</v>
      </c>
      <c r="F285" s="18" t="s">
        <v>22</v>
      </c>
      <c r="G285">
        <v>3</v>
      </c>
      <c r="H285">
        <v>59.41</v>
      </c>
      <c r="I285">
        <v>34.218000000000004</v>
      </c>
      <c r="J285">
        <v>75.575999999999993</v>
      </c>
      <c r="K285">
        <v>178.23</v>
      </c>
    </row>
    <row r="286" spans="1:11" x14ac:dyDescent="0.25">
      <c r="A286">
        <v>76</v>
      </c>
      <c r="B286" s="17">
        <v>45752</v>
      </c>
      <c r="C286" s="18" t="s">
        <v>19</v>
      </c>
      <c r="D286" s="18" t="s">
        <v>12</v>
      </c>
      <c r="E286" s="18" t="s">
        <v>13</v>
      </c>
      <c r="F286" s="18" t="s">
        <v>32</v>
      </c>
      <c r="G286">
        <v>9</v>
      </c>
      <c r="H286">
        <v>49.533999999999999</v>
      </c>
      <c r="I286">
        <v>25.324000000000002</v>
      </c>
      <c r="J286">
        <v>217.89</v>
      </c>
      <c r="K286">
        <v>445.80599999999998</v>
      </c>
    </row>
    <row r="287" spans="1:11" x14ac:dyDescent="0.25">
      <c r="A287">
        <v>104</v>
      </c>
      <c r="B287" s="17">
        <v>45630</v>
      </c>
      <c r="C287" s="18" t="s">
        <v>35</v>
      </c>
      <c r="D287" s="18" t="s">
        <v>27</v>
      </c>
      <c r="E287" s="18" t="s">
        <v>13</v>
      </c>
      <c r="F287" s="18" t="s">
        <v>33</v>
      </c>
      <c r="G287">
        <v>1</v>
      </c>
      <c r="H287">
        <v>50.241999999999997</v>
      </c>
      <c r="I287">
        <v>26.658000000000001</v>
      </c>
      <c r="J287">
        <v>23.584</v>
      </c>
      <c r="K287">
        <v>50.241999999999997</v>
      </c>
    </row>
    <row r="288" spans="1:11" x14ac:dyDescent="0.25">
      <c r="A288">
        <v>33</v>
      </c>
      <c r="B288" s="17">
        <v>45888</v>
      </c>
      <c r="C288" s="18" t="s">
        <v>40</v>
      </c>
      <c r="D288" s="18" t="s">
        <v>16</v>
      </c>
      <c r="E288" s="18" t="s">
        <v>13</v>
      </c>
      <c r="F288" s="18" t="s">
        <v>22</v>
      </c>
      <c r="G288">
        <v>1</v>
      </c>
      <c r="H288">
        <v>52.31</v>
      </c>
      <c r="I288">
        <v>29.341999999999999</v>
      </c>
      <c r="J288">
        <v>22.968</v>
      </c>
      <c r="K288">
        <v>52.31</v>
      </c>
    </row>
    <row r="289" spans="1:11" x14ac:dyDescent="0.25">
      <c r="A289">
        <v>204</v>
      </c>
      <c r="B289" s="17">
        <v>45991</v>
      </c>
      <c r="C289" s="18" t="s">
        <v>31</v>
      </c>
      <c r="D289" s="18" t="s">
        <v>20</v>
      </c>
      <c r="E289" s="18" t="s">
        <v>17</v>
      </c>
      <c r="F289" s="18" t="s">
        <v>30</v>
      </c>
      <c r="G289">
        <v>10</v>
      </c>
      <c r="H289">
        <v>68.63</v>
      </c>
      <c r="I289">
        <v>47.341999999999999</v>
      </c>
      <c r="J289">
        <v>212.88</v>
      </c>
      <c r="K289">
        <v>686.3</v>
      </c>
    </row>
    <row r="290" spans="1:11" x14ac:dyDescent="0.25">
      <c r="A290">
        <v>12</v>
      </c>
      <c r="B290" s="17">
        <v>45771</v>
      </c>
      <c r="C290" s="18" t="s">
        <v>41</v>
      </c>
      <c r="D290" s="18" t="s">
        <v>27</v>
      </c>
      <c r="E290" s="18" t="s">
        <v>36</v>
      </c>
      <c r="F290" s="18" t="s">
        <v>30</v>
      </c>
      <c r="G290">
        <v>4</v>
      </c>
      <c r="H290">
        <v>47.926000000000002</v>
      </c>
      <c r="I290">
        <v>26.888000000000002</v>
      </c>
      <c r="J290">
        <v>84.152000000000001</v>
      </c>
      <c r="K290">
        <v>191.70400000000001</v>
      </c>
    </row>
    <row r="291" spans="1:11" x14ac:dyDescent="0.25">
      <c r="A291">
        <v>249</v>
      </c>
      <c r="B291" s="17">
        <v>45884</v>
      </c>
      <c r="C291" s="18" t="s">
        <v>26</v>
      </c>
      <c r="D291" s="18" t="s">
        <v>29</v>
      </c>
      <c r="E291" s="18" t="s">
        <v>24</v>
      </c>
      <c r="F291" s="18" t="s">
        <v>14</v>
      </c>
      <c r="G291">
        <v>3</v>
      </c>
      <c r="H291">
        <v>44.04</v>
      </c>
      <c r="I291">
        <v>23.946000000000002</v>
      </c>
      <c r="J291">
        <v>60.281999999999996</v>
      </c>
      <c r="K291">
        <v>132.12</v>
      </c>
    </row>
    <row r="292" spans="1:11" x14ac:dyDescent="0.25">
      <c r="A292">
        <v>230</v>
      </c>
      <c r="B292" s="17">
        <v>45859</v>
      </c>
      <c r="C292" s="18" t="s">
        <v>26</v>
      </c>
      <c r="D292" s="18" t="s">
        <v>16</v>
      </c>
      <c r="E292" s="18" t="s">
        <v>36</v>
      </c>
      <c r="F292" s="18" t="s">
        <v>18</v>
      </c>
      <c r="G292">
        <v>9</v>
      </c>
      <c r="H292">
        <v>69.658000000000001</v>
      </c>
      <c r="I292">
        <v>50.694000000000003</v>
      </c>
      <c r="J292">
        <v>170.67599999999999</v>
      </c>
      <c r="K292">
        <v>626.92200000000003</v>
      </c>
    </row>
    <row r="293" spans="1:11" x14ac:dyDescent="0.25">
      <c r="A293">
        <v>263</v>
      </c>
      <c r="B293" s="17">
        <v>45924</v>
      </c>
      <c r="C293" s="18" t="s">
        <v>43</v>
      </c>
      <c r="D293" s="18" t="s">
        <v>12</v>
      </c>
      <c r="E293" s="18" t="s">
        <v>13</v>
      </c>
      <c r="F293" s="18" t="s">
        <v>37</v>
      </c>
      <c r="G293">
        <v>6</v>
      </c>
      <c r="H293">
        <v>65</v>
      </c>
      <c r="I293">
        <v>46.936</v>
      </c>
      <c r="J293">
        <v>108.384</v>
      </c>
      <c r="K293">
        <v>390</v>
      </c>
    </row>
    <row r="294" spans="1:11" x14ac:dyDescent="0.25">
      <c r="A294">
        <v>161</v>
      </c>
      <c r="B294" s="17">
        <v>45784</v>
      </c>
      <c r="C294" s="18" t="s">
        <v>42</v>
      </c>
      <c r="D294" s="18" t="s">
        <v>29</v>
      </c>
      <c r="E294" s="18" t="s">
        <v>17</v>
      </c>
      <c r="F294" s="18" t="s">
        <v>14</v>
      </c>
      <c r="G294">
        <v>10</v>
      </c>
      <c r="H294">
        <v>85.22</v>
      </c>
      <c r="I294">
        <v>67.867999999999995</v>
      </c>
      <c r="J294">
        <v>173.52</v>
      </c>
      <c r="K294">
        <v>852.2</v>
      </c>
    </row>
    <row r="295" spans="1:11" x14ac:dyDescent="0.25">
      <c r="A295">
        <v>148</v>
      </c>
      <c r="B295" s="17">
        <v>45976</v>
      </c>
      <c r="C295" s="18" t="s">
        <v>34</v>
      </c>
      <c r="D295" s="18" t="s">
        <v>12</v>
      </c>
      <c r="E295" s="18" t="s">
        <v>21</v>
      </c>
      <c r="F295" s="18" t="s">
        <v>18</v>
      </c>
      <c r="G295">
        <v>10</v>
      </c>
      <c r="H295">
        <v>36.845999999999997</v>
      </c>
      <c r="I295">
        <v>20.806000000000001</v>
      </c>
      <c r="J295">
        <v>160.4</v>
      </c>
      <c r="K295">
        <v>368.46</v>
      </c>
    </row>
    <row r="296" spans="1:11" x14ac:dyDescent="0.25">
      <c r="A296">
        <v>147</v>
      </c>
      <c r="B296" s="17">
        <v>45813</v>
      </c>
      <c r="C296" s="18" t="s">
        <v>31</v>
      </c>
      <c r="D296" s="18" t="s">
        <v>12</v>
      </c>
      <c r="E296" s="18" t="s">
        <v>17</v>
      </c>
      <c r="F296" s="18" t="s">
        <v>30</v>
      </c>
      <c r="G296">
        <v>7</v>
      </c>
      <c r="H296">
        <v>66.042000000000002</v>
      </c>
      <c r="I296">
        <v>50.292000000000002</v>
      </c>
      <c r="J296">
        <v>110.25</v>
      </c>
      <c r="K296">
        <v>462.29399999999998</v>
      </c>
    </row>
    <row r="297" spans="1:11" x14ac:dyDescent="0.25">
      <c r="A297">
        <v>134</v>
      </c>
      <c r="B297" s="17">
        <v>45680</v>
      </c>
      <c r="C297" s="18" t="s">
        <v>43</v>
      </c>
      <c r="D297" s="18" t="s">
        <v>20</v>
      </c>
      <c r="E297" s="18" t="s">
        <v>36</v>
      </c>
      <c r="F297" s="18" t="s">
        <v>18</v>
      </c>
      <c r="G297">
        <v>4</v>
      </c>
      <c r="H297">
        <v>69.87</v>
      </c>
      <c r="I297">
        <v>55.795999999999999</v>
      </c>
      <c r="J297">
        <v>56.295999999999999</v>
      </c>
      <c r="K297">
        <v>279.48</v>
      </c>
    </row>
    <row r="298" spans="1:11" x14ac:dyDescent="0.25">
      <c r="A298">
        <v>100</v>
      </c>
      <c r="B298" s="17">
        <v>45892</v>
      </c>
      <c r="C298" s="18" t="s">
        <v>42</v>
      </c>
      <c r="D298" s="18" t="s">
        <v>29</v>
      </c>
      <c r="E298" s="18" t="s">
        <v>21</v>
      </c>
      <c r="F298" s="18" t="s">
        <v>37</v>
      </c>
      <c r="G298">
        <v>6</v>
      </c>
      <c r="H298">
        <v>35.738</v>
      </c>
      <c r="I298">
        <v>22.064</v>
      </c>
      <c r="J298">
        <v>82.043999999999997</v>
      </c>
      <c r="K298">
        <v>214.428</v>
      </c>
    </row>
    <row r="299" spans="1:11" x14ac:dyDescent="0.25">
      <c r="A299">
        <v>88</v>
      </c>
      <c r="B299" s="17">
        <v>45932</v>
      </c>
      <c r="C299" s="18" t="s">
        <v>41</v>
      </c>
      <c r="D299" s="18" t="s">
        <v>29</v>
      </c>
      <c r="E299" s="18" t="s">
        <v>17</v>
      </c>
      <c r="F299" s="18" t="s">
        <v>18</v>
      </c>
      <c r="G299">
        <v>5</v>
      </c>
      <c r="H299">
        <v>44.816000000000003</v>
      </c>
      <c r="I299">
        <v>33.031999999999996</v>
      </c>
      <c r="J299">
        <v>58.92</v>
      </c>
      <c r="K299">
        <v>224.08</v>
      </c>
    </row>
    <row r="300" spans="1:11" x14ac:dyDescent="0.25">
      <c r="A300">
        <v>43</v>
      </c>
      <c r="B300" s="17">
        <v>45683</v>
      </c>
      <c r="C300" s="18" t="s">
        <v>28</v>
      </c>
      <c r="D300" s="18" t="s">
        <v>27</v>
      </c>
      <c r="E300" s="18" t="s">
        <v>13</v>
      </c>
      <c r="F300" s="18" t="s">
        <v>38</v>
      </c>
      <c r="G300">
        <v>6</v>
      </c>
      <c r="H300">
        <v>34.902000000000001</v>
      </c>
      <c r="I300">
        <v>24.448</v>
      </c>
      <c r="J300">
        <v>62.723999999999997</v>
      </c>
      <c r="K300">
        <v>209.41200000000001</v>
      </c>
    </row>
    <row r="301" spans="1:11" x14ac:dyDescent="0.25">
      <c r="A301">
        <v>58</v>
      </c>
      <c r="B301" s="17">
        <v>45988</v>
      </c>
      <c r="C301" s="18" t="s">
        <v>43</v>
      </c>
      <c r="D301" s="18" t="s">
        <v>12</v>
      </c>
      <c r="E301" s="18" t="s">
        <v>21</v>
      </c>
      <c r="F301" s="18" t="s">
        <v>18</v>
      </c>
      <c r="G301">
        <v>1</v>
      </c>
      <c r="H301">
        <v>37.222000000000001</v>
      </c>
      <c r="I301">
        <v>27.738</v>
      </c>
      <c r="J301">
        <v>9.484</v>
      </c>
      <c r="K301">
        <v>37.222000000000001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29CFA8-BF66-4CF9-B29F-85644A3015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Análises</vt:lpstr>
      <vt:lpstr>EDA</vt:lpstr>
      <vt:lpstr>Gráficos Dinâmicos</vt:lpstr>
      <vt:lpstr>Tabelas Dinâmicas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Bianchi Pereira</dc:creator>
  <cp:lastModifiedBy>João Paulo Bianchi Pereira</cp:lastModifiedBy>
  <dcterms:created xsi:type="dcterms:W3CDTF">2025-12-11T02:53:39Z</dcterms:created>
  <dcterms:modified xsi:type="dcterms:W3CDTF">2025-12-12T18:25:04Z</dcterms:modified>
</cp:coreProperties>
</file>