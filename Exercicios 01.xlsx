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b\OneDrive\Documents\Projetos\IFPB\Excel\"/>
    </mc:Choice>
  </mc:AlternateContent>
  <xr:revisionPtr revIDLastSave="0" documentId="13_ncr:1_{527B067C-9094-4736-BF6C-45B4E0F4A074}" xr6:coauthVersionLast="47" xr6:coauthVersionMax="47" xr10:uidLastSave="{00000000-0000-0000-0000-000000000000}"/>
  <bookViews>
    <workbookView xWindow="-120" yWindow="-120" windowWidth="29040" windowHeight="15840" firstSheet="1" activeTab="9" xr2:uid="{C6020D67-0C91-4A79-A6BB-B2858F5F5094}"/>
  </bookViews>
  <sheets>
    <sheet name="Atividade 01" sheetId="1" r:id="rId1"/>
    <sheet name="Atividade 02" sheetId="3" r:id="rId2"/>
    <sheet name="Atividade 03" sheetId="4" r:id="rId3"/>
    <sheet name="Atividade 04" sheetId="2" r:id="rId4"/>
    <sheet name="Atividade 05" sheetId="5" r:id="rId5"/>
    <sheet name="Atividade 06" sheetId="6" r:id="rId6"/>
    <sheet name="Atividade 07" sheetId="7" r:id="rId7"/>
    <sheet name="Atividade 08" sheetId="8" r:id="rId8"/>
    <sheet name="Atividade 09" sheetId="9" r:id="rId9"/>
    <sheet name="Atividade 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11" l="1"/>
  <c r="G11" i="11"/>
  <c r="G8" i="11"/>
  <c r="G7" i="11"/>
  <c r="G4" i="11"/>
  <c r="G3" i="11"/>
  <c r="E13" i="9"/>
  <c r="E14" i="9"/>
  <c r="E15" i="9"/>
  <c r="E12" i="9"/>
  <c r="G5" i="9" a="1"/>
  <c r="G5" i="9" s="1"/>
  <c r="F5" i="9" a="1"/>
  <c r="F5" i="9" s="1"/>
  <c r="E6" i="9"/>
  <c r="E7" i="9"/>
  <c r="E8" i="9"/>
  <c r="E9" i="9"/>
  <c r="E10" i="9"/>
  <c r="E5" i="9"/>
  <c r="I17" i="8"/>
  <c r="I18" i="8"/>
  <c r="I19" i="8"/>
  <c r="I20" i="8"/>
  <c r="I21" i="8"/>
  <c r="I22" i="8"/>
  <c r="I23" i="8"/>
  <c r="I16" i="8"/>
  <c r="K12" i="8"/>
  <c r="K11" i="8"/>
  <c r="K10" i="8"/>
  <c r="K9" i="8"/>
  <c r="K8" i="8"/>
  <c r="K7" i="8"/>
  <c r="K6" i="8"/>
  <c r="K5" i="8"/>
  <c r="H12" i="8"/>
  <c r="H11" i="8"/>
  <c r="H10" i="8"/>
  <c r="H9" i="8"/>
  <c r="H8" i="8"/>
  <c r="H7" i="8"/>
  <c r="H6" i="8"/>
  <c r="H5" i="8"/>
  <c r="E5" i="8"/>
  <c r="E6" i="8"/>
  <c r="E7" i="8"/>
  <c r="E8" i="8"/>
  <c r="E9" i="8"/>
  <c r="E10" i="8"/>
  <c r="E11" i="8"/>
  <c r="E12" i="8"/>
  <c r="J8" i="7"/>
  <c r="I8" i="7"/>
  <c r="F6" i="7"/>
  <c r="F7" i="7"/>
  <c r="F8" i="7"/>
  <c r="F9" i="7"/>
  <c r="F10" i="7"/>
  <c r="F11" i="7"/>
  <c r="F12" i="7"/>
  <c r="F5" i="7"/>
  <c r="E6" i="7"/>
  <c r="E7" i="7"/>
  <c r="E8" i="7"/>
  <c r="E9" i="7"/>
  <c r="E10" i="7"/>
  <c r="E11" i="7"/>
  <c r="E12" i="7"/>
  <c r="E5" i="7"/>
  <c r="G12" i="5"/>
  <c r="H12" i="5" s="1"/>
  <c r="F12" i="5"/>
  <c r="G11" i="5"/>
  <c r="F11" i="5"/>
  <c r="H11" i="5" s="1"/>
  <c r="G10" i="5"/>
  <c r="F10" i="5"/>
  <c r="H10" i="5" s="1"/>
  <c r="H9" i="5"/>
  <c r="G9" i="5"/>
  <c r="F9" i="5"/>
  <c r="G8" i="5"/>
  <c r="H8" i="5" s="1"/>
  <c r="F8" i="5"/>
  <c r="G7" i="5"/>
  <c r="F7" i="5"/>
  <c r="H7" i="5" s="1"/>
  <c r="G6" i="5"/>
  <c r="F6" i="5"/>
  <c r="H6" i="5" s="1"/>
  <c r="H5" i="5"/>
  <c r="G5" i="5"/>
  <c r="F5" i="5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G10" i="3"/>
  <c r="H10" i="3" s="1"/>
  <c r="H9" i="3"/>
  <c r="G9" i="3"/>
  <c r="G8" i="3"/>
  <c r="H8" i="3" s="1"/>
  <c r="G7" i="3"/>
  <c r="H7" i="3" s="1"/>
  <c r="G6" i="3"/>
  <c r="H6" i="3" s="1"/>
  <c r="H5" i="3"/>
  <c r="G5" i="3"/>
  <c r="G6" i="2"/>
  <c r="G7" i="2"/>
  <c r="G8" i="2"/>
  <c r="G9" i="2"/>
  <c r="G10" i="2"/>
  <c r="G5" i="2"/>
  <c r="F5" i="2"/>
  <c r="E6" i="2"/>
  <c r="F6" i="2" s="1"/>
  <c r="E7" i="2"/>
  <c r="F7" i="2" s="1"/>
  <c r="E8" i="2"/>
  <c r="F8" i="2" s="1"/>
  <c r="E9" i="2"/>
  <c r="F9" i="2" s="1"/>
  <c r="E10" i="2"/>
  <c r="F10" i="2" s="1"/>
  <c r="E5" i="2"/>
  <c r="E6" i="1"/>
  <c r="E7" i="1"/>
  <c r="E8" i="1"/>
  <c r="E9" i="1"/>
  <c r="E10" i="1"/>
  <c r="E5" i="1"/>
  <c r="D6" i="1"/>
  <c r="D7" i="1"/>
  <c r="D8" i="1"/>
  <c r="D9" i="1"/>
  <c r="D10" i="1"/>
  <c r="D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<sst xmlns="http://schemas.openxmlformats.org/spreadsheetml/2006/main" count="351" uniqueCount="138">
  <si>
    <t>Produtos Eletrônicos</t>
  </si>
  <si>
    <t>Produtos</t>
  </si>
  <si>
    <t>Vendedor</t>
  </si>
  <si>
    <t>Cliente</t>
  </si>
  <si>
    <t>Coluna B com maiuscula</t>
  </si>
  <si>
    <t>Concatenar</t>
  </si>
  <si>
    <t>TV</t>
  </si>
  <si>
    <t>Celular</t>
  </si>
  <si>
    <t>Tablet</t>
  </si>
  <si>
    <t>HD Externo</t>
  </si>
  <si>
    <t>Computador</t>
  </si>
  <si>
    <t>Camêra Digital</t>
  </si>
  <si>
    <t>Loja</t>
  </si>
  <si>
    <t>Produtos &amp; Utilidades</t>
  </si>
  <si>
    <t>Maria Antonia</t>
  </si>
  <si>
    <t>Pedro Paulo</t>
  </si>
  <si>
    <t>Ana Rita</t>
  </si>
  <si>
    <t>Antonio Pedro</t>
  </si>
  <si>
    <t>João</t>
  </si>
  <si>
    <t>Maria</t>
  </si>
  <si>
    <t>José</t>
  </si>
  <si>
    <t>Pedro</t>
  </si>
  <si>
    <t>Ana</t>
  </si>
  <si>
    <t>Rita</t>
  </si>
  <si>
    <t>Atividade 1</t>
  </si>
  <si>
    <t>Atividade 2</t>
  </si>
  <si>
    <t>Valor</t>
  </si>
  <si>
    <t>Data Vencimento</t>
  </si>
  <si>
    <t>Data Pagamento</t>
  </si>
  <si>
    <t>Dias Atraso</t>
  </si>
  <si>
    <t>Valor do Pagamento</t>
  </si>
  <si>
    <t>Juros dia</t>
  </si>
  <si>
    <t>Atividade 3</t>
  </si>
  <si>
    <t>Floricultura</t>
  </si>
  <si>
    <t>Flores</t>
  </si>
  <si>
    <t>Valor unitário (dúzia)</t>
  </si>
  <si>
    <t>Quantidade</t>
  </si>
  <si>
    <t>Data Pedido</t>
  </si>
  <si>
    <t>Dias Entrega</t>
  </si>
  <si>
    <t>Dia Entrega</t>
  </si>
  <si>
    <t>Valor total</t>
  </si>
  <si>
    <t>Rosa</t>
  </si>
  <si>
    <t>Cravo</t>
  </si>
  <si>
    <t>Lirio</t>
  </si>
  <si>
    <t>Orquidea</t>
  </si>
  <si>
    <t>Girasol</t>
  </si>
  <si>
    <t>Hortencia</t>
  </si>
  <si>
    <t>Violeta</t>
  </si>
  <si>
    <t>Margarida</t>
  </si>
  <si>
    <t>Atividade 04</t>
  </si>
  <si>
    <t>Preço Unitário</t>
  </si>
  <si>
    <t>Vendas mês por Vendedor</t>
  </si>
  <si>
    <t>Valor Total</t>
  </si>
  <si>
    <t>Comissão</t>
  </si>
  <si>
    <t>Repetição</t>
  </si>
  <si>
    <t>Comissão sobre valor total</t>
  </si>
  <si>
    <t>Símbolo de repetição</t>
  </si>
  <si>
    <t>*</t>
  </si>
  <si>
    <t>Atividade 05</t>
  </si>
  <si>
    <t>Prestador</t>
  </si>
  <si>
    <t>Horas Trabalhadas</t>
  </si>
  <si>
    <t>Hora</t>
  </si>
  <si>
    <t>Minuto</t>
  </si>
  <si>
    <t>Valor Hora</t>
  </si>
  <si>
    <t>Valor Minuto</t>
  </si>
  <si>
    <t>Prestação de serviços - Floricultura</t>
  </si>
  <si>
    <t>Atividade 06</t>
  </si>
  <si>
    <t>Imobiliária</t>
  </si>
  <si>
    <t>Código</t>
  </si>
  <si>
    <t>Imóveis</t>
  </si>
  <si>
    <t>Data da Venda</t>
  </si>
  <si>
    <t>CNPJ Cliente</t>
  </si>
  <si>
    <t>A_1</t>
  </si>
  <si>
    <t>A_2</t>
  </si>
  <si>
    <t>A_3</t>
  </si>
  <si>
    <t>A_4</t>
  </si>
  <si>
    <t>A_5</t>
  </si>
  <si>
    <t>A_6</t>
  </si>
  <si>
    <t>A_7</t>
  </si>
  <si>
    <t>Apartamento</t>
  </si>
  <si>
    <t>Barracão</t>
  </si>
  <si>
    <t>Casa</t>
  </si>
  <si>
    <t>Chácara</t>
  </si>
  <si>
    <t>Fazenda</t>
  </si>
  <si>
    <t>Sítio</t>
  </si>
  <si>
    <t>Terreno</t>
  </si>
  <si>
    <t>Maria Antônia</t>
  </si>
  <si>
    <t>Antônio Pedro</t>
  </si>
  <si>
    <t>Atividade 7</t>
  </si>
  <si>
    <t>Clientes</t>
  </si>
  <si>
    <t>Quantidade (dúzia)</t>
  </si>
  <si>
    <t>Resultado</t>
  </si>
  <si>
    <t>&gt; =</t>
  </si>
  <si>
    <t>&lt;</t>
  </si>
  <si>
    <t>Se Maior</t>
  </si>
  <si>
    <t>Se Menor</t>
  </si>
  <si>
    <t>Posição</t>
  </si>
  <si>
    <t>Condição</t>
  </si>
  <si>
    <t>↑↑↑</t>
  </si>
  <si>
    <t>↓↓↓</t>
  </si>
  <si>
    <t>Atividade 8</t>
  </si>
  <si>
    <t>Girassol</t>
  </si>
  <si>
    <t>Resultados Condicionais</t>
  </si>
  <si>
    <t>Contagem Produtos</t>
  </si>
  <si>
    <t>Total Fatura Bruta</t>
  </si>
  <si>
    <t>Média por produtos e valor</t>
  </si>
  <si>
    <t>&gt;=400</t>
  </si>
  <si>
    <t>&gt;=300</t>
  </si>
  <si>
    <t>&gt;=200</t>
  </si>
  <si>
    <t>&gt;=100</t>
  </si>
  <si>
    <t>&gt;=50</t>
  </si>
  <si>
    <t>&gt;=30</t>
  </si>
  <si>
    <t>&gt;=20</t>
  </si>
  <si>
    <t>&lt;20</t>
  </si>
  <si>
    <t>Atividade 09</t>
  </si>
  <si>
    <t>Janeiro</t>
  </si>
  <si>
    <t>Fevereiro</t>
  </si>
  <si>
    <t>Março</t>
  </si>
  <si>
    <t>Total</t>
  </si>
  <si>
    <t>Meta</t>
  </si>
  <si>
    <t>&gt;5000</t>
  </si>
  <si>
    <t>Total Vendas</t>
  </si>
  <si>
    <t>Venda mais elevada</t>
  </si>
  <si>
    <t>Venda mais baixa</t>
  </si>
  <si>
    <t>Média das vendas</t>
  </si>
  <si>
    <t>Valor da Comissão</t>
  </si>
  <si>
    <t>Atividade 10</t>
  </si>
  <si>
    <t>Lista de Nascimentos - 23-01-2007</t>
  </si>
  <si>
    <t>Sexo</t>
  </si>
  <si>
    <t xml:space="preserve">Peso (kg) </t>
  </si>
  <si>
    <t>Altura (cm)</t>
  </si>
  <si>
    <t>Feminino</t>
  </si>
  <si>
    <t>Masculino</t>
  </si>
  <si>
    <t>Dados Estatísticos</t>
  </si>
  <si>
    <t>Média das Alturas</t>
  </si>
  <si>
    <t>Média dos Pesos</t>
  </si>
  <si>
    <t>Número de Nascimentos</t>
  </si>
  <si>
    <t xml:space="preserve">Média dos Pesos por Sexo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</si>
</sst>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"/>
    <numFmt numFmtId="165" formatCode="0.0"/>
    <numFmt numFmtId="173" formatCode="00\.000\.000\/0000\-00"/>
  </numFmts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14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1" fontId="0" fillId="0" borderId="1" xfId="0" applyNumberFormat="1" applyBorder="1"/>
    <xf numFmtId="0" fontId="0" fillId="0" borderId="1" xfId="0" applyFill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1" applyFont="1" applyBorder="1" applyAlignment="1">
      <alignment horizontal="center" wrapText="1"/>
    </xf>
    <xf numFmtId="14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2" fontId="0" fillId="0" borderId="1" xfId="0" applyNumberFormat="1" applyBorder="1"/>
    <xf numFmtId="165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2" fillId="0" borderId="1" xfId="0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20" fontId="0" fillId="0" borderId="1" xfId="0" applyNumberFormat="1" applyBorder="1"/>
    <xf numFmtId="0" fontId="0" fillId="0" borderId="0" xfId="0" applyNumberFormat="1" applyAlignment="1">
      <alignment wrapText="1"/>
    </xf>
    <xf numFmtId="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3" fontId="0" fillId="0" borderId="1" xfId="0" applyNumberFormat="1" applyBorder="1"/>
    <xf numFmtId="0" fontId="0" fillId="3" borderId="1" xfId="0" applyFill="1" applyBorder="1"/>
    <xf numFmtId="0" fontId="5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  <xf numFmtId="8" fontId="0" fillId="0" borderId="1" xfId="0" applyNumberForma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7" fillId="0" borderId="0" xfId="0" applyFont="1"/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2">
    <cellStyle name="Normal" xfId="0" builtinId="0"/>
    <cellStyle name="Título 4" xfId="1" builtin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33A9-E2F1-45C1-A382-EB1FF581BAE1}">
  <dimension ref="A1:E13"/>
  <sheetViews>
    <sheetView workbookViewId="0">
      <selection activeCell="B12" sqref="B12"/>
    </sheetView>
  </sheetViews>
  <sheetFormatPr defaultRowHeight="15" x14ac:dyDescent="0.25"/>
  <cols>
    <col min="1" max="1" width="20.5703125" bestFit="1" customWidth="1"/>
    <col min="2" max="2" width="14" bestFit="1" customWidth="1"/>
    <col min="3" max="3" width="20" bestFit="1" customWidth="1"/>
    <col min="4" max="4" width="23.5703125" customWidth="1"/>
    <col min="5" max="5" width="50.5703125" bestFit="1" customWidth="1"/>
    <col min="6" max="6" width="15.5703125" bestFit="1" customWidth="1"/>
    <col min="7" max="7" width="14.7109375" customWidth="1"/>
    <col min="8" max="8" width="19.140625" bestFit="1" customWidth="1"/>
  </cols>
  <sheetData>
    <row r="1" spans="1:5" x14ac:dyDescent="0.25">
      <c r="A1" t="s">
        <v>24</v>
      </c>
    </row>
    <row r="2" spans="1:5" ht="26.25" x14ac:dyDescent="0.4">
      <c r="A2" s="11" t="s">
        <v>0</v>
      </c>
      <c r="B2" s="11"/>
      <c r="C2" s="11"/>
      <c r="D2" s="11"/>
      <c r="E2" s="11"/>
    </row>
    <row r="3" spans="1:5" x14ac:dyDescent="0.25">
      <c r="A3" s="12"/>
      <c r="B3" s="12"/>
      <c r="C3" s="12"/>
      <c r="D3" s="12"/>
      <c r="E3" s="12"/>
    </row>
    <row r="4" spans="1:5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x14ac:dyDescent="0.25">
      <c r="A5" s="2" t="s">
        <v>6</v>
      </c>
      <c r="B5" s="2" t="s">
        <v>14</v>
      </c>
      <c r="C5" s="2" t="s">
        <v>18</v>
      </c>
      <c r="D5" s="2" t="str">
        <f>UPPER((B5))</f>
        <v>MARIA ANTONIA</v>
      </c>
      <c r="E5" s="2" t="str">
        <f>_xlfn.CONCAT(A5," - ",B5," - ",$A$13)</f>
        <v>TV - Maria Antonia - Produtos &amp; Utilidades</v>
      </c>
    </row>
    <row r="6" spans="1:5" x14ac:dyDescent="0.25">
      <c r="A6" s="2" t="s">
        <v>7</v>
      </c>
      <c r="B6" s="2" t="s">
        <v>15</v>
      </c>
      <c r="C6" s="2" t="s">
        <v>19</v>
      </c>
      <c r="D6" s="2" t="str">
        <f>UPPER((B6))</f>
        <v>PEDRO PAULO</v>
      </c>
      <c r="E6" s="2" t="str">
        <f>_xlfn.CONCAT(A6," - ",B6," - ",$A$13)</f>
        <v>Celular - Pedro Paulo - Produtos &amp; Utilidades</v>
      </c>
    </row>
    <row r="7" spans="1:5" x14ac:dyDescent="0.25">
      <c r="A7" s="2" t="s">
        <v>8</v>
      </c>
      <c r="B7" s="2" t="s">
        <v>16</v>
      </c>
      <c r="C7" s="2" t="s">
        <v>20</v>
      </c>
      <c r="D7" s="2" t="str">
        <f>UPPER((B7))</f>
        <v>ANA RITA</v>
      </c>
      <c r="E7" s="2" t="str">
        <f>_xlfn.CONCAT(A7," - ",B7," - ",$A$13)</f>
        <v>Tablet - Ana Rita - Produtos &amp; Utilidades</v>
      </c>
    </row>
    <row r="8" spans="1:5" x14ac:dyDescent="0.25">
      <c r="A8" s="2" t="s">
        <v>9</v>
      </c>
      <c r="B8" s="2" t="s">
        <v>17</v>
      </c>
      <c r="C8" s="2" t="s">
        <v>21</v>
      </c>
      <c r="D8" s="2" t="str">
        <f>UPPER((B8))</f>
        <v>ANTONIO PEDRO</v>
      </c>
      <c r="E8" s="2" t="str">
        <f>_xlfn.CONCAT(A8," - ",B8," - ",$A$13)</f>
        <v>HD Externo - Antonio Pedro - Produtos &amp; Utilidades</v>
      </c>
    </row>
    <row r="9" spans="1:5" x14ac:dyDescent="0.25">
      <c r="A9" s="2" t="s">
        <v>10</v>
      </c>
      <c r="B9" s="2" t="s">
        <v>16</v>
      </c>
      <c r="C9" s="2" t="s">
        <v>22</v>
      </c>
      <c r="D9" s="2" t="str">
        <f>UPPER((B9))</f>
        <v>ANA RITA</v>
      </c>
      <c r="E9" s="2" t="str">
        <f>_xlfn.CONCAT(A9," - ",B9," - ",$A$13)</f>
        <v>Computador - Ana Rita - Produtos &amp; Utilidades</v>
      </c>
    </row>
    <row r="10" spans="1:5" x14ac:dyDescent="0.25">
      <c r="A10" s="2" t="s">
        <v>11</v>
      </c>
      <c r="B10" s="2" t="s">
        <v>17</v>
      </c>
      <c r="C10" s="2" t="s">
        <v>23</v>
      </c>
      <c r="D10" s="2" t="str">
        <f>UPPER((B10))</f>
        <v>ANTONIO PEDRO</v>
      </c>
      <c r="E10" s="2" t="str">
        <f>_xlfn.CONCAT(A10," - ",B10," - ",$A$13)</f>
        <v>Camêra Digital - Antonio Pedro - Produtos &amp; Utilidades</v>
      </c>
    </row>
    <row r="12" spans="1:5" x14ac:dyDescent="0.25">
      <c r="A12" s="4" t="s">
        <v>12</v>
      </c>
    </row>
    <row r="13" spans="1:5" x14ac:dyDescent="0.25">
      <c r="A13" s="2" t="s">
        <v>13</v>
      </c>
    </row>
  </sheetData>
  <mergeCells count="2">
    <mergeCell ref="A2:E2"/>
    <mergeCell ref="A3:E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B575-6DF3-4427-BEB7-33FDFB8AFDCE}">
  <dimension ref="A1:H13"/>
  <sheetViews>
    <sheetView workbookViewId="0">
      <selection activeCell="I8" sqref="I8"/>
    </sheetView>
  </sheetViews>
  <sheetFormatPr defaultRowHeight="15" x14ac:dyDescent="0.25"/>
  <cols>
    <col min="1" max="2" width="14" bestFit="1" customWidth="1"/>
    <col min="3" max="3" width="7.42578125" bestFit="1" customWidth="1"/>
    <col min="4" max="4" width="10.7109375" bestFit="1" customWidth="1"/>
    <col min="5" max="5" width="16.42578125" bestFit="1" customWidth="1"/>
    <col min="6" max="6" width="15.5703125" bestFit="1" customWidth="1"/>
    <col min="7" max="7" width="10.85546875" bestFit="1" customWidth="1"/>
    <col min="8" max="8" width="19.140625" bestFit="1" customWidth="1"/>
  </cols>
  <sheetData>
    <row r="1" spans="1:8" x14ac:dyDescent="0.25">
      <c r="A1" t="s">
        <v>25</v>
      </c>
    </row>
    <row r="2" spans="1:8" ht="26.25" x14ac:dyDescent="0.4">
      <c r="A2" s="11" t="s">
        <v>0</v>
      </c>
      <c r="B2" s="11"/>
      <c r="C2" s="11"/>
      <c r="D2" s="11"/>
      <c r="E2" s="11"/>
      <c r="F2" s="11"/>
      <c r="G2" s="11"/>
      <c r="H2" s="11"/>
    </row>
    <row r="3" spans="1:8" x14ac:dyDescent="0.25">
      <c r="A3" s="12"/>
      <c r="B3" s="12"/>
      <c r="C3" s="12"/>
      <c r="D3" s="12"/>
      <c r="E3" s="12"/>
      <c r="F3" s="12"/>
      <c r="G3" s="12"/>
      <c r="H3" s="12"/>
    </row>
    <row r="4" spans="1:8" x14ac:dyDescent="0.25">
      <c r="A4" s="3" t="s">
        <v>1</v>
      </c>
      <c r="B4" s="3" t="s">
        <v>2</v>
      </c>
      <c r="C4" s="3" t="s">
        <v>3</v>
      </c>
      <c r="D4" s="3" t="s">
        <v>26</v>
      </c>
      <c r="E4" s="3" t="s">
        <v>27</v>
      </c>
      <c r="F4" s="5" t="s">
        <v>28</v>
      </c>
      <c r="G4" s="5" t="s">
        <v>29</v>
      </c>
      <c r="H4" s="5" t="s">
        <v>30</v>
      </c>
    </row>
    <row r="5" spans="1:8" x14ac:dyDescent="0.25">
      <c r="A5" s="2" t="s">
        <v>6</v>
      </c>
      <c r="B5" s="2" t="s">
        <v>14</v>
      </c>
      <c r="C5" s="2" t="s">
        <v>18</v>
      </c>
      <c r="D5" s="7">
        <v>1800</v>
      </c>
      <c r="E5" s="6">
        <v>42714</v>
      </c>
      <c r="F5" s="6">
        <v>42719</v>
      </c>
      <c r="G5" s="9">
        <f>F5-E5</f>
        <v>5</v>
      </c>
      <c r="H5" s="7">
        <f>(D5+((D5*$A$13)*G5))</f>
        <v>1867.5</v>
      </c>
    </row>
    <row r="6" spans="1:8" x14ac:dyDescent="0.25">
      <c r="A6" s="2" t="s">
        <v>7</v>
      </c>
      <c r="B6" s="2" t="s">
        <v>15</v>
      </c>
      <c r="C6" s="2" t="s">
        <v>19</v>
      </c>
      <c r="D6" s="7">
        <v>990</v>
      </c>
      <c r="E6" s="6">
        <v>42714</v>
      </c>
      <c r="F6" s="6">
        <v>42718</v>
      </c>
      <c r="G6" s="9">
        <f>F6-E6</f>
        <v>4</v>
      </c>
      <c r="H6" s="7">
        <f>(D6+((D6*$A$13)*G6))</f>
        <v>1019.7</v>
      </c>
    </row>
    <row r="7" spans="1:8" x14ac:dyDescent="0.25">
      <c r="A7" s="2" t="s">
        <v>8</v>
      </c>
      <c r="B7" s="2" t="s">
        <v>16</v>
      </c>
      <c r="C7" s="2" t="s">
        <v>20</v>
      </c>
      <c r="D7" s="7">
        <v>1200</v>
      </c>
      <c r="E7" s="6">
        <v>42715</v>
      </c>
      <c r="F7" s="6">
        <v>42722</v>
      </c>
      <c r="G7" s="9">
        <f>F7-E7</f>
        <v>7</v>
      </c>
      <c r="H7" s="7">
        <f>(D7+((D7*$A$13)*G7))</f>
        <v>1263</v>
      </c>
    </row>
    <row r="8" spans="1:8" x14ac:dyDescent="0.25">
      <c r="A8" s="2" t="s">
        <v>9</v>
      </c>
      <c r="B8" s="2" t="s">
        <v>17</v>
      </c>
      <c r="C8" s="2" t="s">
        <v>21</v>
      </c>
      <c r="D8" s="7">
        <v>550</v>
      </c>
      <c r="E8" s="6">
        <v>42715</v>
      </c>
      <c r="F8" s="6">
        <v>42723</v>
      </c>
      <c r="G8" s="9">
        <f>F8-E8</f>
        <v>8</v>
      </c>
      <c r="H8" s="7">
        <f>(D8+((D8*$A$13)*G8))</f>
        <v>583</v>
      </c>
    </row>
    <row r="9" spans="1:8" x14ac:dyDescent="0.25">
      <c r="A9" s="2" t="s">
        <v>10</v>
      </c>
      <c r="B9" s="2" t="s">
        <v>16</v>
      </c>
      <c r="C9" s="2" t="s">
        <v>22</v>
      </c>
      <c r="D9" s="7">
        <v>1900</v>
      </c>
      <c r="E9" s="6">
        <v>42715</v>
      </c>
      <c r="F9" s="6">
        <v>42726</v>
      </c>
      <c r="G9" s="9">
        <f>F9-E9</f>
        <v>11</v>
      </c>
      <c r="H9" s="7">
        <f>(D9+((D9*$A$13)*G9))</f>
        <v>2056.75</v>
      </c>
    </row>
    <row r="10" spans="1:8" x14ac:dyDescent="0.25">
      <c r="A10" s="2" t="s">
        <v>11</v>
      </c>
      <c r="B10" s="2" t="s">
        <v>17</v>
      </c>
      <c r="C10" s="2" t="s">
        <v>23</v>
      </c>
      <c r="D10" s="7">
        <v>1400</v>
      </c>
      <c r="E10" s="6">
        <v>42716</v>
      </c>
      <c r="F10" s="6">
        <v>42725</v>
      </c>
      <c r="G10" s="9">
        <f>F10-E10</f>
        <v>9</v>
      </c>
      <c r="H10" s="7">
        <f>(D10+((D10*$A$13)*G10))</f>
        <v>1494.5</v>
      </c>
    </row>
    <row r="12" spans="1:8" x14ac:dyDescent="0.25">
      <c r="A12" s="4" t="s">
        <v>31</v>
      </c>
    </row>
    <row r="13" spans="1:8" x14ac:dyDescent="0.25">
      <c r="A13" s="8">
        <v>7.4999999999999997E-3</v>
      </c>
    </row>
  </sheetData>
  <mergeCells count="2">
    <mergeCell ref="A3:H3"/>
    <mergeCell ref="A2:H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C701-4B02-4E94-A6EF-A1B9F207777D}">
  <dimension ref="A1:H12"/>
  <sheetViews>
    <sheetView workbookViewId="0">
      <selection sqref="A1:H12"/>
    </sheetView>
  </sheetViews>
  <sheetFormatPr defaultRowHeight="15" x14ac:dyDescent="0.25"/>
  <cols>
    <col min="1" max="1" width="11" bestFit="1" customWidth="1"/>
    <col min="2" max="2" width="14" bestFit="1" customWidth="1"/>
    <col min="3" max="3" width="20" bestFit="1" customWidth="1"/>
    <col min="4" max="4" width="11.42578125" bestFit="1" customWidth="1"/>
    <col min="5" max="5" width="11.7109375" bestFit="1" customWidth="1"/>
    <col min="6" max="6" width="11.85546875" bestFit="1" customWidth="1"/>
    <col min="7" max="7" width="11" bestFit="1" customWidth="1"/>
    <col min="8" max="8" width="10.28515625" bestFit="1" customWidth="1"/>
  </cols>
  <sheetData>
    <row r="1" spans="1:8" x14ac:dyDescent="0.25">
      <c r="A1" t="s">
        <v>32</v>
      </c>
    </row>
    <row r="2" spans="1:8" ht="26.25" x14ac:dyDescent="0.4">
      <c r="A2" s="11" t="s">
        <v>33</v>
      </c>
      <c r="B2" s="11"/>
      <c r="C2" s="11"/>
      <c r="D2" s="11"/>
      <c r="E2" s="11"/>
      <c r="F2" s="11"/>
      <c r="G2" s="11"/>
      <c r="H2" s="11"/>
    </row>
    <row r="3" spans="1:8" x14ac:dyDescent="0.25">
      <c r="A3" s="12"/>
      <c r="B3" s="12"/>
      <c r="C3" s="12"/>
      <c r="D3" s="12"/>
      <c r="E3" s="12"/>
      <c r="F3" s="12"/>
      <c r="G3" s="12"/>
      <c r="H3" s="12"/>
    </row>
    <row r="4" spans="1:8" x14ac:dyDescent="0.25">
      <c r="A4" s="3" t="s">
        <v>34</v>
      </c>
      <c r="B4" s="3" t="s">
        <v>2</v>
      </c>
      <c r="C4" s="3" t="s">
        <v>35</v>
      </c>
      <c r="D4" s="3" t="s">
        <v>36</v>
      </c>
      <c r="E4" s="3" t="s">
        <v>37</v>
      </c>
      <c r="F4" s="5" t="s">
        <v>38</v>
      </c>
      <c r="G4" s="5" t="s">
        <v>39</v>
      </c>
      <c r="H4" s="5" t="s">
        <v>40</v>
      </c>
    </row>
    <row r="5" spans="1:8" x14ac:dyDescent="0.25">
      <c r="A5" s="2" t="s">
        <v>41</v>
      </c>
      <c r="B5" s="2" t="s">
        <v>14</v>
      </c>
      <c r="C5" s="7">
        <v>10</v>
      </c>
      <c r="D5" s="9">
        <v>3</v>
      </c>
      <c r="E5" s="6">
        <v>42714</v>
      </c>
      <c r="F5" s="9">
        <v>5</v>
      </c>
      <c r="G5" s="6">
        <f>E5+F5</f>
        <v>42719</v>
      </c>
      <c r="H5" s="7">
        <f>C5*D5</f>
        <v>30</v>
      </c>
    </row>
    <row r="6" spans="1:8" x14ac:dyDescent="0.25">
      <c r="A6" s="2" t="s">
        <v>42</v>
      </c>
      <c r="B6" s="2" t="s">
        <v>15</v>
      </c>
      <c r="C6" s="7">
        <v>8.4</v>
      </c>
      <c r="D6" s="9">
        <v>2</v>
      </c>
      <c r="E6" s="6">
        <v>42714</v>
      </c>
      <c r="F6" s="9">
        <v>3</v>
      </c>
      <c r="G6" s="6">
        <f>E6+F6</f>
        <v>42717</v>
      </c>
      <c r="H6" s="7">
        <f>C6*D6</f>
        <v>16.8</v>
      </c>
    </row>
    <row r="7" spans="1:8" x14ac:dyDescent="0.25">
      <c r="A7" s="2" t="s">
        <v>43</v>
      </c>
      <c r="B7" s="2" t="s">
        <v>14</v>
      </c>
      <c r="C7" s="7">
        <v>12.55</v>
      </c>
      <c r="D7" s="9">
        <v>4</v>
      </c>
      <c r="E7" s="6">
        <v>42715</v>
      </c>
      <c r="F7" s="9">
        <v>6</v>
      </c>
      <c r="G7" s="6">
        <f>E7+F7</f>
        <v>42721</v>
      </c>
      <c r="H7" s="7">
        <f>C7*D7</f>
        <v>50.2</v>
      </c>
    </row>
    <row r="8" spans="1:8" x14ac:dyDescent="0.25">
      <c r="A8" s="2" t="s">
        <v>44</v>
      </c>
      <c r="B8" s="2" t="s">
        <v>15</v>
      </c>
      <c r="C8" s="7">
        <v>55.9</v>
      </c>
      <c r="D8" s="9">
        <v>1</v>
      </c>
      <c r="E8" s="6">
        <v>42716</v>
      </c>
      <c r="F8" s="9">
        <v>2</v>
      </c>
      <c r="G8" s="6">
        <f>E8+F8</f>
        <v>42718</v>
      </c>
      <c r="H8" s="7">
        <f>C8*D8</f>
        <v>55.9</v>
      </c>
    </row>
    <row r="9" spans="1:8" x14ac:dyDescent="0.25">
      <c r="A9" s="2" t="s">
        <v>45</v>
      </c>
      <c r="B9" s="2" t="s">
        <v>16</v>
      </c>
      <c r="C9" s="7">
        <v>25.1</v>
      </c>
      <c r="D9" s="9">
        <v>3</v>
      </c>
      <c r="E9" s="6">
        <v>42717</v>
      </c>
      <c r="F9" s="9">
        <v>4</v>
      </c>
      <c r="G9" s="6">
        <f>E9+F9</f>
        <v>42721</v>
      </c>
      <c r="H9" s="7">
        <f>C9*D9</f>
        <v>75.300000000000011</v>
      </c>
    </row>
    <row r="10" spans="1:8" x14ac:dyDescent="0.25">
      <c r="A10" s="2" t="s">
        <v>46</v>
      </c>
      <c r="B10" s="2" t="s">
        <v>17</v>
      </c>
      <c r="C10" s="7">
        <v>15.8</v>
      </c>
      <c r="D10" s="9">
        <v>2</v>
      </c>
      <c r="E10" s="6">
        <v>42715</v>
      </c>
      <c r="F10" s="9">
        <v>5</v>
      </c>
      <c r="G10" s="6">
        <f>E10+F10</f>
        <v>42720</v>
      </c>
      <c r="H10" s="7">
        <f>C10*D10</f>
        <v>31.6</v>
      </c>
    </row>
    <row r="11" spans="1:8" x14ac:dyDescent="0.25">
      <c r="A11" s="10" t="s">
        <v>47</v>
      </c>
      <c r="B11" s="10" t="s">
        <v>16</v>
      </c>
      <c r="C11" s="7">
        <v>14.99</v>
      </c>
      <c r="D11" s="9">
        <v>10</v>
      </c>
      <c r="E11" s="6">
        <v>42716</v>
      </c>
      <c r="F11" s="9">
        <v>3</v>
      </c>
      <c r="G11" s="6">
        <f>E11+F11</f>
        <v>42719</v>
      </c>
      <c r="H11" s="7">
        <f>C11*D11</f>
        <v>149.9</v>
      </c>
    </row>
    <row r="12" spans="1:8" x14ac:dyDescent="0.25">
      <c r="A12" s="10" t="s">
        <v>48</v>
      </c>
      <c r="B12" s="10" t="s">
        <v>17</v>
      </c>
      <c r="C12" s="7">
        <v>12.75</v>
      </c>
      <c r="D12" s="9">
        <v>20</v>
      </c>
      <c r="E12" s="6">
        <v>42717</v>
      </c>
      <c r="F12" s="9">
        <v>2</v>
      </c>
      <c r="G12" s="6">
        <f>E12+F12</f>
        <v>42719</v>
      </c>
      <c r="H12" s="7">
        <f>C12*D12</f>
        <v>255</v>
      </c>
    </row>
  </sheetData>
  <mergeCells count="2">
    <mergeCell ref="A2:H2"/>
    <mergeCell ref="A3:H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386B-CA3E-49F4-B9B7-81CEA296E722}">
  <dimension ref="A1:G16"/>
  <sheetViews>
    <sheetView workbookViewId="0">
      <selection sqref="A1:G16"/>
    </sheetView>
  </sheetViews>
  <sheetFormatPr defaultRowHeight="15" x14ac:dyDescent="0.25"/>
  <cols>
    <col min="1" max="1" width="34.5703125" bestFit="1" customWidth="1"/>
    <col min="2" max="2" width="17.42578125" customWidth="1"/>
    <col min="3" max="3" width="17" customWidth="1"/>
    <col min="4" max="4" width="24.85546875" style="13" bestFit="1" customWidth="1"/>
    <col min="5" max="5" width="15.5703125" bestFit="1" customWidth="1"/>
    <col min="6" max="6" width="13.140625" customWidth="1"/>
    <col min="7" max="7" width="26" customWidth="1"/>
    <col min="8" max="8" width="10.28515625" bestFit="1" customWidth="1"/>
  </cols>
  <sheetData>
    <row r="1" spans="1:7" x14ac:dyDescent="0.25">
      <c r="A1" t="s">
        <v>49</v>
      </c>
    </row>
    <row r="2" spans="1:7" ht="26.25" x14ac:dyDescent="0.4">
      <c r="A2" s="22" t="s">
        <v>0</v>
      </c>
      <c r="B2" s="23"/>
      <c r="C2" s="23"/>
      <c r="D2" s="23"/>
      <c r="E2" s="23"/>
      <c r="F2" s="23"/>
      <c r="G2" s="24"/>
    </row>
    <row r="3" spans="1:7" x14ac:dyDescent="0.25">
      <c r="A3" s="1"/>
      <c r="B3" s="1"/>
      <c r="C3" s="1"/>
      <c r="D3" s="14"/>
      <c r="E3" s="1"/>
      <c r="F3" s="1"/>
      <c r="G3" s="1"/>
    </row>
    <row r="4" spans="1:7" x14ac:dyDescent="0.25">
      <c r="A4" s="3" t="s">
        <v>1</v>
      </c>
      <c r="B4" s="3" t="s">
        <v>2</v>
      </c>
      <c r="C4" s="3" t="s">
        <v>50</v>
      </c>
      <c r="D4" s="15" t="s">
        <v>51</v>
      </c>
      <c r="E4" s="5" t="s">
        <v>52</v>
      </c>
      <c r="F4" s="5" t="s">
        <v>53</v>
      </c>
      <c r="G4" s="5" t="s">
        <v>54</v>
      </c>
    </row>
    <row r="5" spans="1:7" x14ac:dyDescent="0.25">
      <c r="A5" s="2" t="s">
        <v>6</v>
      </c>
      <c r="B5" s="2" t="s">
        <v>14</v>
      </c>
      <c r="C5" s="7">
        <v>1800</v>
      </c>
      <c r="D5" s="17">
        <v>5</v>
      </c>
      <c r="E5" s="9">
        <f>C5*D5</f>
        <v>9000</v>
      </c>
      <c r="F5" s="9">
        <f>$A$13*E5</f>
        <v>270</v>
      </c>
      <c r="G5" s="9" t="str">
        <f>REPT($A$16,D5)</f>
        <v>*****</v>
      </c>
    </row>
    <row r="6" spans="1:7" x14ac:dyDescent="0.25">
      <c r="A6" s="2" t="s">
        <v>7</v>
      </c>
      <c r="B6" s="2" t="s">
        <v>15</v>
      </c>
      <c r="C6" s="7">
        <v>1200</v>
      </c>
      <c r="D6" s="17">
        <v>15</v>
      </c>
      <c r="E6" s="9">
        <f>C6*D6</f>
        <v>18000</v>
      </c>
      <c r="F6" s="9">
        <f>$A$13*E6</f>
        <v>540</v>
      </c>
      <c r="G6" s="9" t="str">
        <f>REPT($A$16,D6)</f>
        <v>***************</v>
      </c>
    </row>
    <row r="7" spans="1:7" x14ac:dyDescent="0.25">
      <c r="A7" s="2" t="s">
        <v>8</v>
      </c>
      <c r="B7" s="2" t="s">
        <v>16</v>
      </c>
      <c r="C7" s="7">
        <v>1000</v>
      </c>
      <c r="D7" s="17">
        <v>7</v>
      </c>
      <c r="E7" s="9">
        <f>C7*D7</f>
        <v>7000</v>
      </c>
      <c r="F7" s="9">
        <f>$A$13*E7</f>
        <v>210</v>
      </c>
      <c r="G7" s="9" t="str">
        <f>REPT($A$16,D7)</f>
        <v>*******</v>
      </c>
    </row>
    <row r="8" spans="1:7" x14ac:dyDescent="0.25">
      <c r="A8" s="2" t="s">
        <v>9</v>
      </c>
      <c r="B8" s="2" t="s">
        <v>17</v>
      </c>
      <c r="C8" s="7">
        <v>550</v>
      </c>
      <c r="D8" s="17">
        <v>5</v>
      </c>
      <c r="E8" s="9">
        <f>C8*D8</f>
        <v>2750</v>
      </c>
      <c r="F8" s="9">
        <f>$A$13*E8</f>
        <v>82.5</v>
      </c>
      <c r="G8" s="9" t="str">
        <f>REPT($A$16,D8)</f>
        <v>*****</v>
      </c>
    </row>
    <row r="9" spans="1:7" x14ac:dyDescent="0.25">
      <c r="A9" s="2" t="s">
        <v>10</v>
      </c>
      <c r="B9" s="2" t="s">
        <v>16</v>
      </c>
      <c r="C9" s="7">
        <v>2100</v>
      </c>
      <c r="D9" s="17">
        <v>12</v>
      </c>
      <c r="E9" s="9">
        <f>C9*D9</f>
        <v>25200</v>
      </c>
      <c r="F9" s="9">
        <f>$A$13*E9</f>
        <v>756</v>
      </c>
      <c r="G9" s="9" t="str">
        <f>REPT($A$16,D9)</f>
        <v>************</v>
      </c>
    </row>
    <row r="10" spans="1:7" x14ac:dyDescent="0.25">
      <c r="A10" s="2" t="s">
        <v>11</v>
      </c>
      <c r="B10" s="2" t="s">
        <v>17</v>
      </c>
      <c r="C10" s="7">
        <v>1250</v>
      </c>
      <c r="D10" s="17">
        <v>10</v>
      </c>
      <c r="E10" s="9">
        <f>C10*D10</f>
        <v>12500</v>
      </c>
      <c r="F10" s="9">
        <f>$A$13*E10</f>
        <v>375</v>
      </c>
      <c r="G10" s="9" t="str">
        <f>REPT($A$16,D10)</f>
        <v>**********</v>
      </c>
    </row>
    <row r="12" spans="1:7" x14ac:dyDescent="0.25">
      <c r="A12" s="4" t="s">
        <v>55</v>
      </c>
    </row>
    <row r="13" spans="1:7" x14ac:dyDescent="0.25">
      <c r="A13" s="20">
        <v>0.03</v>
      </c>
    </row>
    <row r="15" spans="1:7" x14ac:dyDescent="0.25">
      <c r="A15" s="1" t="s">
        <v>56</v>
      </c>
    </row>
    <row r="16" spans="1:7" x14ac:dyDescent="0.25">
      <c r="A16" s="1" t="s">
        <v>57</v>
      </c>
    </row>
  </sheetData>
  <mergeCells count="1"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2325-1B33-421F-A5E4-0155BED59920}">
  <dimension ref="A1:H15"/>
  <sheetViews>
    <sheetView workbookViewId="0">
      <selection sqref="A1:H15"/>
    </sheetView>
  </sheetViews>
  <sheetFormatPr defaultRowHeight="15" x14ac:dyDescent="0.25"/>
  <cols>
    <col min="1" max="1" width="12" bestFit="1" customWidth="1"/>
    <col min="2" max="2" width="14" bestFit="1" customWidth="1"/>
    <col min="3" max="3" width="17.28515625" bestFit="1" customWidth="1"/>
    <col min="4" max="4" width="8" customWidth="1"/>
    <col min="6" max="6" width="10.28515625" bestFit="1" customWidth="1"/>
    <col min="7" max="7" width="12.7109375" bestFit="1" customWidth="1"/>
    <col min="8" max="8" width="10.28515625" bestFit="1" customWidth="1"/>
  </cols>
  <sheetData>
    <row r="1" spans="1:8" x14ac:dyDescent="0.25">
      <c r="A1" t="s">
        <v>58</v>
      </c>
      <c r="D1" s="13"/>
    </row>
    <row r="2" spans="1:8" ht="26.25" x14ac:dyDescent="0.4">
      <c r="A2" s="11" t="s">
        <v>65</v>
      </c>
      <c r="B2" s="11"/>
      <c r="C2" s="11"/>
      <c r="D2" s="11"/>
      <c r="E2" s="11"/>
      <c r="F2" s="11"/>
      <c r="G2" s="11"/>
      <c r="H2" s="11"/>
    </row>
    <row r="3" spans="1:8" x14ac:dyDescent="0.25">
      <c r="A3" s="12"/>
      <c r="B3" s="12"/>
      <c r="C3" s="12"/>
      <c r="D3" s="12"/>
      <c r="E3" s="12"/>
      <c r="F3" s="12"/>
      <c r="G3" s="12"/>
      <c r="H3" s="12"/>
    </row>
    <row r="4" spans="1:8" x14ac:dyDescent="0.25">
      <c r="A4" s="3" t="s">
        <v>34</v>
      </c>
      <c r="B4" s="3" t="s">
        <v>59</v>
      </c>
      <c r="C4" s="3" t="s">
        <v>60</v>
      </c>
      <c r="D4" s="3" t="s">
        <v>61</v>
      </c>
      <c r="E4" s="3" t="s">
        <v>62</v>
      </c>
      <c r="F4" s="5" t="s">
        <v>63</v>
      </c>
      <c r="G4" s="5" t="s">
        <v>64</v>
      </c>
      <c r="H4" s="5" t="s">
        <v>40</v>
      </c>
    </row>
    <row r="5" spans="1:8" x14ac:dyDescent="0.25">
      <c r="A5" s="2" t="s">
        <v>41</v>
      </c>
      <c r="B5" s="2" t="s">
        <v>14</v>
      </c>
      <c r="C5" s="25">
        <v>0.33333333333333331</v>
      </c>
      <c r="D5" s="26">
        <v>8</v>
      </c>
      <c r="E5" s="27">
        <v>0</v>
      </c>
      <c r="F5" s="7">
        <f>$A$15*D5</f>
        <v>200.8</v>
      </c>
      <c r="G5" s="7">
        <f>$B$15*E5</f>
        <v>0</v>
      </c>
      <c r="H5" s="7">
        <f>F5+G5</f>
        <v>200.8</v>
      </c>
    </row>
    <row r="6" spans="1:8" x14ac:dyDescent="0.25">
      <c r="A6" s="2" t="s">
        <v>42</v>
      </c>
      <c r="B6" s="2" t="s">
        <v>15</v>
      </c>
      <c r="C6" s="25">
        <v>0.34305555555555556</v>
      </c>
      <c r="D6" s="27">
        <v>8</v>
      </c>
      <c r="E6" s="27">
        <v>14</v>
      </c>
      <c r="F6" s="7">
        <f>$A$15*D6</f>
        <v>200.8</v>
      </c>
      <c r="G6" s="7">
        <f>$B$15*E6</f>
        <v>5.88</v>
      </c>
      <c r="H6" s="7">
        <f>F6+G6</f>
        <v>206.68</v>
      </c>
    </row>
    <row r="7" spans="1:8" x14ac:dyDescent="0.25">
      <c r="A7" s="2" t="s">
        <v>43</v>
      </c>
      <c r="B7" s="2" t="s">
        <v>14</v>
      </c>
      <c r="C7" s="25">
        <v>0.35625000000000001</v>
      </c>
      <c r="D7" s="27">
        <v>8</v>
      </c>
      <c r="E7" s="27">
        <v>33</v>
      </c>
      <c r="F7" s="7">
        <f>$A$15*D7</f>
        <v>200.8</v>
      </c>
      <c r="G7" s="7">
        <f>$B$15*E7</f>
        <v>13.86</v>
      </c>
      <c r="H7" s="7">
        <f>F7+G7</f>
        <v>214.66000000000003</v>
      </c>
    </row>
    <row r="8" spans="1:8" x14ac:dyDescent="0.25">
      <c r="A8" s="2" t="s">
        <v>44</v>
      </c>
      <c r="B8" s="2" t="s">
        <v>15</v>
      </c>
      <c r="C8" s="25">
        <v>0.37638888888888888</v>
      </c>
      <c r="D8" s="27">
        <v>9</v>
      </c>
      <c r="E8" s="27">
        <v>2</v>
      </c>
      <c r="F8" s="7">
        <f>$A$15*D8</f>
        <v>225.9</v>
      </c>
      <c r="G8" s="7">
        <f>$B$15*E8</f>
        <v>0.84</v>
      </c>
      <c r="H8" s="7">
        <f>F8+G8</f>
        <v>226.74</v>
      </c>
    </row>
    <row r="9" spans="1:8" x14ac:dyDescent="0.25">
      <c r="A9" s="2" t="s">
        <v>45</v>
      </c>
      <c r="B9" s="2" t="s">
        <v>16</v>
      </c>
      <c r="C9" s="25">
        <v>0.34027777777777779</v>
      </c>
      <c r="D9" s="27">
        <v>8</v>
      </c>
      <c r="E9" s="27">
        <v>10</v>
      </c>
      <c r="F9" s="7">
        <f>$A$15*D9</f>
        <v>200.8</v>
      </c>
      <c r="G9" s="7">
        <f>$B$15*E9</f>
        <v>4.2</v>
      </c>
      <c r="H9" s="7">
        <f>F9+G9</f>
        <v>205</v>
      </c>
    </row>
    <row r="10" spans="1:8" x14ac:dyDescent="0.25">
      <c r="A10" s="2" t="s">
        <v>46</v>
      </c>
      <c r="B10" s="2" t="s">
        <v>17</v>
      </c>
      <c r="C10" s="25">
        <v>0.32500000000000001</v>
      </c>
      <c r="D10" s="27">
        <v>7</v>
      </c>
      <c r="E10" s="27">
        <v>48</v>
      </c>
      <c r="F10" s="7">
        <f>$A$15*D10</f>
        <v>175.70000000000002</v>
      </c>
      <c r="G10" s="7">
        <f>$B$15*E10</f>
        <v>20.16</v>
      </c>
      <c r="H10" s="7">
        <f>F10+G10</f>
        <v>195.86</v>
      </c>
    </row>
    <row r="11" spans="1:8" x14ac:dyDescent="0.25">
      <c r="A11" s="10" t="s">
        <v>47</v>
      </c>
      <c r="B11" s="10" t="s">
        <v>16</v>
      </c>
      <c r="C11" s="25">
        <v>0.3888888888888889</v>
      </c>
      <c r="D11" s="27">
        <v>9</v>
      </c>
      <c r="E11" s="27">
        <v>20</v>
      </c>
      <c r="F11" s="7">
        <f>$A$15*D11</f>
        <v>225.9</v>
      </c>
      <c r="G11" s="7">
        <f>$B$15*E11</f>
        <v>8.4</v>
      </c>
      <c r="H11" s="7">
        <f>F11+G11</f>
        <v>234.3</v>
      </c>
    </row>
    <row r="12" spans="1:8" x14ac:dyDescent="0.25">
      <c r="A12" s="10" t="s">
        <v>48</v>
      </c>
      <c r="B12" s="10" t="s">
        <v>17</v>
      </c>
      <c r="C12" s="25">
        <v>0.35416666666666669</v>
      </c>
      <c r="D12" s="27">
        <v>8</v>
      </c>
      <c r="E12" s="27">
        <v>30</v>
      </c>
      <c r="F12" s="7">
        <f>$A$15*D12</f>
        <v>200.8</v>
      </c>
      <c r="G12" s="7">
        <f>$B$15*E12</f>
        <v>12.6</v>
      </c>
      <c r="H12" s="7">
        <f>F12+G12</f>
        <v>213.4</v>
      </c>
    </row>
    <row r="13" spans="1:8" x14ac:dyDescent="0.25">
      <c r="D13" s="13"/>
    </row>
    <row r="14" spans="1:8" x14ac:dyDescent="0.25">
      <c r="A14" s="21" t="s">
        <v>63</v>
      </c>
      <c r="B14" s="21" t="s">
        <v>64</v>
      </c>
      <c r="D14" s="13"/>
    </row>
    <row r="15" spans="1:8" x14ac:dyDescent="0.25">
      <c r="A15" s="7">
        <v>25.1</v>
      </c>
      <c r="B15" s="7">
        <v>0.42</v>
      </c>
      <c r="D15" s="13"/>
    </row>
  </sheetData>
  <mergeCells count="2">
    <mergeCell ref="A2:H2"/>
    <mergeCell ref="A3:H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76AB-C278-4197-AB8D-69226159EFBF}">
  <dimension ref="A1:E12"/>
  <sheetViews>
    <sheetView workbookViewId="0">
      <selection activeCell="E6" sqref="E6"/>
    </sheetView>
  </sheetViews>
  <sheetFormatPr defaultRowHeight="15" x14ac:dyDescent="0.25"/>
  <cols>
    <col min="1" max="1" width="12" bestFit="1" customWidth="1"/>
    <col min="2" max="3" width="14" bestFit="1" customWidth="1"/>
    <col min="4" max="4" width="14.5703125" customWidth="1"/>
    <col min="5" max="5" width="18" bestFit="1" customWidth="1"/>
  </cols>
  <sheetData>
    <row r="1" spans="1:5" x14ac:dyDescent="0.25">
      <c r="A1" t="s">
        <v>66</v>
      </c>
      <c r="D1" s="13"/>
    </row>
    <row r="2" spans="1:5" ht="26.25" x14ac:dyDescent="0.4">
      <c r="A2" s="22" t="s">
        <v>67</v>
      </c>
      <c r="B2" s="23"/>
      <c r="C2" s="23"/>
      <c r="D2" s="23"/>
      <c r="E2" s="24"/>
    </row>
    <row r="3" spans="1:5" x14ac:dyDescent="0.25">
      <c r="A3" s="28"/>
      <c r="B3" s="29"/>
      <c r="C3" s="29"/>
      <c r="D3" s="29"/>
      <c r="E3" s="30"/>
    </row>
    <row r="4" spans="1:5" x14ac:dyDescent="0.25">
      <c r="A4" s="3" t="s">
        <v>68</v>
      </c>
      <c r="B4" s="3" t="s">
        <v>69</v>
      </c>
      <c r="C4" s="3" t="s">
        <v>2</v>
      </c>
      <c r="D4" s="3" t="s">
        <v>70</v>
      </c>
      <c r="E4" s="3" t="s">
        <v>71</v>
      </c>
    </row>
    <row r="5" spans="1:5" x14ac:dyDescent="0.25">
      <c r="A5" s="2" t="s">
        <v>72</v>
      </c>
      <c r="B5" s="2" t="s">
        <v>79</v>
      </c>
      <c r="C5" s="27" t="s">
        <v>86</v>
      </c>
      <c r="D5" s="16">
        <v>44797</v>
      </c>
      <c r="E5" s="31">
        <v>11222333000125</v>
      </c>
    </row>
    <row r="6" spans="1:5" x14ac:dyDescent="0.25">
      <c r="A6" s="2" t="s">
        <v>73</v>
      </c>
      <c r="B6" s="2" t="s">
        <v>80</v>
      </c>
      <c r="C6" s="27" t="s">
        <v>15</v>
      </c>
      <c r="D6" s="16">
        <v>44798</v>
      </c>
      <c r="E6" s="31">
        <v>11222333000125</v>
      </c>
    </row>
    <row r="7" spans="1:5" x14ac:dyDescent="0.25">
      <c r="A7" s="2" t="s">
        <v>74</v>
      </c>
      <c r="B7" s="2" t="s">
        <v>81</v>
      </c>
      <c r="C7" s="27" t="s">
        <v>16</v>
      </c>
      <c r="D7" s="16">
        <v>44799</v>
      </c>
      <c r="E7" s="31">
        <v>11222333000125</v>
      </c>
    </row>
    <row r="8" spans="1:5" x14ac:dyDescent="0.25">
      <c r="A8" s="2" t="s">
        <v>75</v>
      </c>
      <c r="B8" s="2" t="s">
        <v>82</v>
      </c>
      <c r="C8" s="27" t="s">
        <v>87</v>
      </c>
      <c r="D8" s="16">
        <v>44800</v>
      </c>
      <c r="E8" s="31">
        <v>11222333000125</v>
      </c>
    </row>
    <row r="9" spans="1:5" x14ac:dyDescent="0.25">
      <c r="A9" s="2" t="s">
        <v>76</v>
      </c>
      <c r="B9" s="2" t="s">
        <v>83</v>
      </c>
      <c r="C9" s="27" t="s">
        <v>16</v>
      </c>
      <c r="D9" s="16">
        <v>44801</v>
      </c>
      <c r="E9" s="31">
        <v>11222333000125</v>
      </c>
    </row>
    <row r="10" spans="1:5" x14ac:dyDescent="0.25">
      <c r="A10" s="2" t="s">
        <v>77</v>
      </c>
      <c r="B10" s="2" t="s">
        <v>84</v>
      </c>
      <c r="C10" s="27" t="s">
        <v>87</v>
      </c>
      <c r="D10" s="16">
        <v>44802</v>
      </c>
      <c r="E10" s="31">
        <v>11222333000125</v>
      </c>
    </row>
    <row r="11" spans="1:5" x14ac:dyDescent="0.25">
      <c r="A11" s="2" t="s">
        <v>78</v>
      </c>
      <c r="B11" s="10" t="s">
        <v>85</v>
      </c>
      <c r="C11" s="27" t="s">
        <v>16</v>
      </c>
      <c r="D11" s="16">
        <v>44803</v>
      </c>
      <c r="E11" s="31">
        <v>11222333000125</v>
      </c>
    </row>
    <row r="12" spans="1:5" x14ac:dyDescent="0.25">
      <c r="D12" s="13"/>
    </row>
  </sheetData>
  <mergeCells count="2">
    <mergeCell ref="A2:E2"/>
    <mergeCell ref="A3:E3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A169-286B-41AB-B3D4-B2A066A77C68}">
  <dimension ref="A1:J15"/>
  <sheetViews>
    <sheetView zoomScale="175" zoomScaleNormal="175" workbookViewId="0">
      <selection activeCell="J8" sqref="J8"/>
    </sheetView>
  </sheetViews>
  <sheetFormatPr defaultRowHeight="15" x14ac:dyDescent="0.25"/>
  <cols>
    <col min="1" max="1" width="11" bestFit="1" customWidth="1"/>
    <col min="2" max="2" width="14" bestFit="1" customWidth="1"/>
    <col min="3" max="3" width="20" bestFit="1" customWidth="1"/>
    <col min="4" max="4" width="18.28515625" bestFit="1" customWidth="1"/>
    <col min="5" max="5" width="12" bestFit="1" customWidth="1"/>
    <col min="6" max="6" width="10.28515625" bestFit="1" customWidth="1"/>
    <col min="9" max="9" width="9.85546875" bestFit="1" customWidth="1"/>
    <col min="10" max="10" width="9.42578125" bestFit="1" customWidth="1"/>
  </cols>
  <sheetData>
    <row r="1" spans="1:10" x14ac:dyDescent="0.25">
      <c r="A1" t="s">
        <v>88</v>
      </c>
    </row>
    <row r="2" spans="1:10" ht="26.25" x14ac:dyDescent="0.4">
      <c r="A2" s="22" t="s">
        <v>33</v>
      </c>
      <c r="B2" s="23"/>
      <c r="C2" s="23"/>
      <c r="D2" s="23"/>
      <c r="E2" s="23"/>
      <c r="F2" s="24"/>
      <c r="I2" s="32" t="s">
        <v>94</v>
      </c>
      <c r="J2" s="32" t="s">
        <v>95</v>
      </c>
    </row>
    <row r="3" spans="1:10" x14ac:dyDescent="0.25">
      <c r="A3" s="12"/>
      <c r="B3" s="12"/>
      <c r="C3" s="12"/>
      <c r="D3" s="12"/>
      <c r="E3" s="12"/>
      <c r="F3" s="12"/>
      <c r="I3" s="2" t="s">
        <v>96</v>
      </c>
      <c r="J3" s="2" t="s">
        <v>96</v>
      </c>
    </row>
    <row r="4" spans="1:10" x14ac:dyDescent="0.25">
      <c r="A4" s="3" t="s">
        <v>34</v>
      </c>
      <c r="B4" s="3" t="s">
        <v>89</v>
      </c>
      <c r="C4" s="3" t="s">
        <v>35</v>
      </c>
      <c r="D4" s="3" t="s">
        <v>90</v>
      </c>
      <c r="E4" s="5" t="s">
        <v>52</v>
      </c>
      <c r="F4" s="5" t="s">
        <v>91</v>
      </c>
      <c r="I4" s="2">
        <v>1</v>
      </c>
      <c r="J4" s="2">
        <v>8</v>
      </c>
    </row>
    <row r="5" spans="1:10" x14ac:dyDescent="0.25">
      <c r="A5" s="2" t="s">
        <v>41</v>
      </c>
      <c r="B5" s="2" t="s">
        <v>14</v>
      </c>
      <c r="C5" s="7">
        <v>10</v>
      </c>
      <c r="D5" s="9">
        <v>3</v>
      </c>
      <c r="E5" s="7">
        <f>D5*C5</f>
        <v>30</v>
      </c>
      <c r="F5" s="35" t="str">
        <f>IF(E5&lt;$B$15,$C$15,$C$14)</f>
        <v>↓↓↓</v>
      </c>
      <c r="I5" s="2" t="s">
        <v>97</v>
      </c>
      <c r="J5" s="2" t="s">
        <v>97</v>
      </c>
    </row>
    <row r="6" spans="1:10" x14ac:dyDescent="0.25">
      <c r="A6" s="2" t="s">
        <v>42</v>
      </c>
      <c r="B6" s="2" t="s">
        <v>15</v>
      </c>
      <c r="C6" s="7">
        <v>8.4</v>
      </c>
      <c r="D6" s="9">
        <v>2</v>
      </c>
      <c r="E6" s="7">
        <f t="shared" ref="E6:E12" si="0">D6*C6</f>
        <v>16.8</v>
      </c>
      <c r="F6" s="35" t="str">
        <f t="shared" ref="F6:F12" si="1">IF(E6&lt;$B$15,$C$15,$C$14)</f>
        <v>↓↓↓</v>
      </c>
      <c r="I6" s="7">
        <v>80</v>
      </c>
      <c r="J6" s="7">
        <v>80</v>
      </c>
    </row>
    <row r="7" spans="1:10" x14ac:dyDescent="0.25">
      <c r="A7" s="2" t="s">
        <v>43</v>
      </c>
      <c r="B7" s="2" t="s">
        <v>14</v>
      </c>
      <c r="C7" s="7">
        <v>12.55</v>
      </c>
      <c r="D7" s="9">
        <v>4</v>
      </c>
      <c r="E7" s="7">
        <f t="shared" si="0"/>
        <v>50.2</v>
      </c>
      <c r="F7" s="35" t="str">
        <f t="shared" si="1"/>
        <v>↓↓↓</v>
      </c>
      <c r="I7" s="2" t="s">
        <v>91</v>
      </c>
      <c r="J7" s="2" t="s">
        <v>91</v>
      </c>
    </row>
    <row r="8" spans="1:10" x14ac:dyDescent="0.25">
      <c r="A8" s="2" t="s">
        <v>44</v>
      </c>
      <c r="B8" s="2" t="s">
        <v>15</v>
      </c>
      <c r="C8" s="7">
        <v>55.9</v>
      </c>
      <c r="D8" s="9">
        <v>1</v>
      </c>
      <c r="E8" s="7">
        <f t="shared" si="0"/>
        <v>55.9</v>
      </c>
      <c r="F8" s="35" t="str">
        <f t="shared" si="1"/>
        <v>↓↓↓</v>
      </c>
      <c r="I8" s="7">
        <f>IF(LARGE(E5:E12,$I$4)&gt;$I$6, LARGE(E5:E12,$I$4), " ")</f>
        <v>255</v>
      </c>
      <c r="J8" s="7">
        <f>IF(SMALL(E5:E12,$J$4)&gt;$J$6, SMALL(E5:E12,$J$4), " ")</f>
        <v>255</v>
      </c>
    </row>
    <row r="9" spans="1:10" x14ac:dyDescent="0.25">
      <c r="A9" s="2" t="s">
        <v>45</v>
      </c>
      <c r="B9" s="2" t="s">
        <v>16</v>
      </c>
      <c r="C9" s="7">
        <v>25.1</v>
      </c>
      <c r="D9" s="9">
        <v>3</v>
      </c>
      <c r="E9" s="7">
        <f t="shared" si="0"/>
        <v>75.300000000000011</v>
      </c>
      <c r="F9" s="35" t="str">
        <f t="shared" si="1"/>
        <v>↓↓↓</v>
      </c>
    </row>
    <row r="10" spans="1:10" x14ac:dyDescent="0.25">
      <c r="A10" s="2" t="s">
        <v>46</v>
      </c>
      <c r="B10" s="2" t="s">
        <v>17</v>
      </c>
      <c r="C10" s="7">
        <v>15.8</v>
      </c>
      <c r="D10" s="9">
        <v>2</v>
      </c>
      <c r="E10" s="7">
        <f t="shared" si="0"/>
        <v>31.6</v>
      </c>
      <c r="F10" s="35" t="str">
        <f t="shared" si="1"/>
        <v>↓↓↓</v>
      </c>
    </row>
    <row r="11" spans="1:10" x14ac:dyDescent="0.25">
      <c r="A11" s="10" t="s">
        <v>47</v>
      </c>
      <c r="B11" s="10" t="s">
        <v>16</v>
      </c>
      <c r="C11" s="7">
        <v>14.99</v>
      </c>
      <c r="D11" s="9">
        <v>10</v>
      </c>
      <c r="E11" s="7">
        <f t="shared" si="0"/>
        <v>149.9</v>
      </c>
      <c r="F11" s="33" t="str">
        <f t="shared" si="1"/>
        <v>↑↑↑</v>
      </c>
    </row>
    <row r="12" spans="1:10" x14ac:dyDescent="0.25">
      <c r="A12" s="10" t="s">
        <v>48</v>
      </c>
      <c r="B12" s="10" t="s">
        <v>17</v>
      </c>
      <c r="C12" s="7">
        <v>12.75</v>
      </c>
      <c r="D12" s="9">
        <v>20</v>
      </c>
      <c r="E12" s="7">
        <f t="shared" si="0"/>
        <v>255</v>
      </c>
      <c r="F12" s="33" t="str">
        <f t="shared" si="1"/>
        <v>↑↑↑</v>
      </c>
    </row>
    <row r="14" spans="1:10" x14ac:dyDescent="0.25">
      <c r="A14" s="2" t="s">
        <v>92</v>
      </c>
      <c r="B14" s="7">
        <v>100</v>
      </c>
      <c r="C14" s="33" t="s">
        <v>98</v>
      </c>
    </row>
    <row r="15" spans="1:10" x14ac:dyDescent="0.25">
      <c r="A15" s="2" t="s">
        <v>93</v>
      </c>
      <c r="B15" s="7">
        <v>100</v>
      </c>
      <c r="C15" s="34" t="s">
        <v>99</v>
      </c>
    </row>
  </sheetData>
  <mergeCells count="2">
    <mergeCell ref="A3:F3"/>
    <mergeCell ref="A2:F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DF80-9558-4809-8749-306A6C2B2AB5}">
  <dimension ref="A1:K37"/>
  <sheetViews>
    <sheetView topLeftCell="A3" workbookViewId="0">
      <selection activeCell="J16" sqref="J16"/>
    </sheetView>
  </sheetViews>
  <sheetFormatPr defaultRowHeight="15" x14ac:dyDescent="0.25"/>
  <cols>
    <col min="1" max="1" width="11" bestFit="1" customWidth="1"/>
    <col min="2" max="2" width="14" bestFit="1" customWidth="1"/>
    <col min="3" max="3" width="20" bestFit="1" customWidth="1"/>
    <col min="4" max="4" width="18.28515625" bestFit="1" customWidth="1"/>
    <col min="5" max="5" width="10.5703125" bestFit="1" customWidth="1"/>
    <col min="6" max="6" width="18.28515625" customWidth="1"/>
    <col min="7" max="7" width="18.42578125" customWidth="1"/>
    <col min="10" max="10" width="18.42578125" customWidth="1"/>
  </cols>
  <sheetData>
    <row r="1" spans="1:11" x14ac:dyDescent="0.25">
      <c r="A1" t="s">
        <v>100</v>
      </c>
    </row>
    <row r="2" spans="1:11" ht="26.25" x14ac:dyDescent="0.4">
      <c r="A2" s="11" t="s">
        <v>33</v>
      </c>
      <c r="B2" s="11"/>
      <c r="C2" s="11"/>
      <c r="D2" s="11"/>
      <c r="E2" s="11"/>
      <c r="G2" s="11" t="s">
        <v>102</v>
      </c>
      <c r="H2" s="11"/>
      <c r="I2" s="11"/>
      <c r="J2" s="11"/>
      <c r="K2" s="11"/>
    </row>
    <row r="3" spans="1:11" x14ac:dyDescent="0.25">
      <c r="A3" s="28"/>
      <c r="B3" s="29"/>
      <c r="C3" s="29"/>
      <c r="D3" s="29"/>
      <c r="E3" s="30"/>
      <c r="G3" s="38"/>
      <c r="H3" s="38"/>
      <c r="I3" s="38"/>
      <c r="J3" s="38"/>
      <c r="K3" s="38"/>
    </row>
    <row r="4" spans="1:11" x14ac:dyDescent="0.25">
      <c r="A4" s="3" t="s">
        <v>34</v>
      </c>
      <c r="B4" s="3" t="s">
        <v>89</v>
      </c>
      <c r="C4" s="3" t="s">
        <v>35</v>
      </c>
      <c r="D4" s="3" t="s">
        <v>90</v>
      </c>
      <c r="E4" s="5" t="s">
        <v>52</v>
      </c>
      <c r="G4" s="39" t="s">
        <v>103</v>
      </c>
      <c r="H4" s="39"/>
      <c r="J4" s="39" t="s">
        <v>104</v>
      </c>
      <c r="K4" s="39"/>
    </row>
    <row r="5" spans="1:11" x14ac:dyDescent="0.25">
      <c r="A5" s="2" t="s">
        <v>41</v>
      </c>
      <c r="B5" s="2" t="s">
        <v>14</v>
      </c>
      <c r="C5" s="7">
        <v>10</v>
      </c>
      <c r="D5" s="9">
        <v>3</v>
      </c>
      <c r="E5" s="7">
        <f>D5*C5</f>
        <v>30</v>
      </c>
      <c r="G5" s="2" t="s">
        <v>41</v>
      </c>
      <c r="H5" s="2">
        <f>COUNTIF($A$5:$A$37, "Rosa")</f>
        <v>4</v>
      </c>
      <c r="J5" s="2" t="s">
        <v>41</v>
      </c>
      <c r="K5" s="2">
        <f>COUNTIF(A5:A37,"Rosa")</f>
        <v>4</v>
      </c>
    </row>
    <row r="6" spans="1:11" x14ac:dyDescent="0.25">
      <c r="A6" s="2" t="s">
        <v>42</v>
      </c>
      <c r="B6" s="2" t="s">
        <v>15</v>
      </c>
      <c r="C6" s="7">
        <v>8.4</v>
      </c>
      <c r="D6" s="9">
        <v>2</v>
      </c>
      <c r="E6" s="7">
        <f t="shared" ref="E6:E12" si="0">D6*C6</f>
        <v>16.8</v>
      </c>
      <c r="G6" s="2" t="s">
        <v>42</v>
      </c>
      <c r="H6" s="2">
        <f>COUNTIF($A$5:$A$37, "Cravo")</f>
        <v>6</v>
      </c>
      <c r="J6" s="2" t="s">
        <v>42</v>
      </c>
      <c r="K6" s="2">
        <f>COUNTIF(A5:A37,"Cravo")</f>
        <v>6</v>
      </c>
    </row>
    <row r="7" spans="1:11" x14ac:dyDescent="0.25">
      <c r="A7" s="2" t="s">
        <v>43</v>
      </c>
      <c r="B7" s="2" t="s">
        <v>14</v>
      </c>
      <c r="C7" s="7">
        <v>12.55</v>
      </c>
      <c r="D7" s="9">
        <v>4</v>
      </c>
      <c r="E7" s="7">
        <f t="shared" si="0"/>
        <v>50.2</v>
      </c>
      <c r="G7" s="2" t="s">
        <v>43</v>
      </c>
      <c r="H7" s="2">
        <f>COUNTIF($A$5:$A$37, "Lirio")</f>
        <v>3</v>
      </c>
      <c r="J7" s="2" t="s">
        <v>43</v>
      </c>
      <c r="K7" s="2">
        <f>COUNTIF(A5:A37,"Lirio")</f>
        <v>3</v>
      </c>
    </row>
    <row r="8" spans="1:11" x14ac:dyDescent="0.25">
      <c r="A8" s="2" t="s">
        <v>44</v>
      </c>
      <c r="B8" s="2" t="s">
        <v>15</v>
      </c>
      <c r="C8" s="7">
        <v>55.9</v>
      </c>
      <c r="D8" s="9">
        <v>1</v>
      </c>
      <c r="E8" s="7">
        <f t="shared" si="0"/>
        <v>55.9</v>
      </c>
      <c r="G8" s="2" t="s">
        <v>44</v>
      </c>
      <c r="H8" s="2">
        <f>COUNTIF($A$5:$A$37, "Orquidea")</f>
        <v>5</v>
      </c>
      <c r="J8" s="2" t="s">
        <v>44</v>
      </c>
      <c r="K8" s="2">
        <f>COUNTIF(A5:A37,"Orquidea")</f>
        <v>5</v>
      </c>
    </row>
    <row r="9" spans="1:11" x14ac:dyDescent="0.25">
      <c r="A9" s="2" t="s">
        <v>45</v>
      </c>
      <c r="B9" s="2" t="s">
        <v>16</v>
      </c>
      <c r="C9" s="7">
        <v>25.1</v>
      </c>
      <c r="D9" s="9">
        <v>3</v>
      </c>
      <c r="E9" s="7">
        <f t="shared" si="0"/>
        <v>75.300000000000011</v>
      </c>
      <c r="G9" s="2" t="s">
        <v>45</v>
      </c>
      <c r="H9" s="2">
        <f>COUNTIF($A$5:$A$37, "Girasol")</f>
        <v>1</v>
      </c>
      <c r="J9" s="2" t="s">
        <v>45</v>
      </c>
      <c r="K9" s="2">
        <f>COUNTIF(A5:A37,"Girasol")</f>
        <v>1</v>
      </c>
    </row>
    <row r="10" spans="1:11" x14ac:dyDescent="0.25">
      <c r="A10" s="2" t="s">
        <v>46</v>
      </c>
      <c r="B10" s="2" t="s">
        <v>17</v>
      </c>
      <c r="C10" s="7">
        <v>15.8</v>
      </c>
      <c r="D10" s="9">
        <v>2</v>
      </c>
      <c r="E10" s="7">
        <f t="shared" si="0"/>
        <v>31.6</v>
      </c>
      <c r="G10" s="2" t="s">
        <v>46</v>
      </c>
      <c r="H10" s="2">
        <f>COUNTIF($A$5:$A$37, "Hortencia")</f>
        <v>5</v>
      </c>
      <c r="J10" s="2" t="s">
        <v>46</v>
      </c>
      <c r="K10" s="2">
        <f>COUNTIF(A5:A37,"Hortencia")</f>
        <v>5</v>
      </c>
    </row>
    <row r="11" spans="1:11" x14ac:dyDescent="0.25">
      <c r="A11" s="10" t="s">
        <v>47</v>
      </c>
      <c r="B11" s="10" t="s">
        <v>16</v>
      </c>
      <c r="C11" s="7">
        <v>14.99</v>
      </c>
      <c r="D11" s="9">
        <v>10</v>
      </c>
      <c r="E11" s="7">
        <f t="shared" si="0"/>
        <v>149.9</v>
      </c>
      <c r="G11" s="10" t="s">
        <v>47</v>
      </c>
      <c r="H11" s="2">
        <f>COUNTIF($A$5:$A$37, "Violeta")</f>
        <v>3</v>
      </c>
      <c r="J11" s="10" t="s">
        <v>47</v>
      </c>
      <c r="K11" s="2">
        <f>COUNTIF(A5:A37,"Violeta")</f>
        <v>3</v>
      </c>
    </row>
    <row r="12" spans="1:11" x14ac:dyDescent="0.25">
      <c r="A12" s="10" t="s">
        <v>48</v>
      </c>
      <c r="B12" s="10" t="s">
        <v>17</v>
      </c>
      <c r="C12" s="7">
        <v>12.75</v>
      </c>
      <c r="D12" s="9">
        <v>20</v>
      </c>
      <c r="E12" s="7">
        <f t="shared" si="0"/>
        <v>255</v>
      </c>
      <c r="G12" s="10" t="s">
        <v>48</v>
      </c>
      <c r="H12" s="2">
        <f>COUNTIF($A$5:$A$37, "Margarida")</f>
        <v>5</v>
      </c>
      <c r="J12" s="10" t="s">
        <v>48</v>
      </c>
      <c r="K12" s="2">
        <f>COUNTIF(A5:A37,"Margarida")</f>
        <v>5</v>
      </c>
    </row>
    <row r="13" spans="1:11" x14ac:dyDescent="0.25">
      <c r="A13" s="2" t="s">
        <v>44</v>
      </c>
      <c r="B13" s="2" t="s">
        <v>15</v>
      </c>
      <c r="C13" s="36">
        <v>55.9</v>
      </c>
      <c r="D13" s="2">
        <v>5</v>
      </c>
      <c r="E13" s="36">
        <v>279.5</v>
      </c>
    </row>
    <row r="14" spans="1:11" x14ac:dyDescent="0.25">
      <c r="A14" s="2" t="s">
        <v>48</v>
      </c>
      <c r="B14" s="2" t="s">
        <v>14</v>
      </c>
      <c r="C14" s="36">
        <v>12.75</v>
      </c>
      <c r="D14" s="2">
        <v>13</v>
      </c>
      <c r="E14" s="36">
        <v>165.75</v>
      </c>
    </row>
    <row r="15" spans="1:11" x14ac:dyDescent="0.25">
      <c r="A15" s="2" t="s">
        <v>48</v>
      </c>
      <c r="B15" s="2" t="s">
        <v>14</v>
      </c>
      <c r="C15" s="36">
        <v>12.75</v>
      </c>
      <c r="D15" s="2">
        <v>5</v>
      </c>
      <c r="E15" s="36">
        <v>63.75</v>
      </c>
      <c r="G15" s="39" t="s">
        <v>105</v>
      </c>
      <c r="H15" s="39"/>
      <c r="I15" s="39"/>
    </row>
    <row r="16" spans="1:11" x14ac:dyDescent="0.25">
      <c r="A16" s="2" t="s">
        <v>44</v>
      </c>
      <c r="B16" s="2" t="s">
        <v>17</v>
      </c>
      <c r="C16" s="36">
        <v>55.9</v>
      </c>
      <c r="D16" s="2">
        <v>9</v>
      </c>
      <c r="E16" s="36">
        <v>503.1</v>
      </c>
      <c r="G16" s="2" t="s">
        <v>41</v>
      </c>
      <c r="H16" s="2" t="s">
        <v>106</v>
      </c>
      <c r="I16" s="2">
        <f>AVERAGEIFS($E$5:$E$37,$A$5:$A$37,G16)</f>
        <v>72.5</v>
      </c>
    </row>
    <row r="17" spans="1:9" x14ac:dyDescent="0.25">
      <c r="A17" s="2" t="s">
        <v>42</v>
      </c>
      <c r="B17" s="2" t="s">
        <v>17</v>
      </c>
      <c r="C17" s="36">
        <v>8.4</v>
      </c>
      <c r="D17" s="2">
        <v>8</v>
      </c>
      <c r="E17" s="36">
        <v>67.2</v>
      </c>
      <c r="G17" s="2" t="s">
        <v>42</v>
      </c>
      <c r="H17" s="2" t="s">
        <v>107</v>
      </c>
      <c r="I17" s="2">
        <f t="shared" ref="I17:I23" si="1">AVERAGEIFS($E$5:$E$37,$A$5:$A$37,G17)</f>
        <v>56</v>
      </c>
    </row>
    <row r="18" spans="1:9" x14ac:dyDescent="0.25">
      <c r="A18" s="2" t="s">
        <v>101</v>
      </c>
      <c r="B18" s="2" t="s">
        <v>15</v>
      </c>
      <c r="C18" s="36">
        <v>25.1</v>
      </c>
      <c r="D18" s="2">
        <v>4</v>
      </c>
      <c r="E18" s="36">
        <v>100.4</v>
      </c>
      <c r="G18" s="2" t="s">
        <v>43</v>
      </c>
      <c r="H18" s="2" t="s">
        <v>108</v>
      </c>
      <c r="I18" s="2">
        <f t="shared" si="1"/>
        <v>37.65</v>
      </c>
    </row>
    <row r="19" spans="1:9" x14ac:dyDescent="0.25">
      <c r="A19" s="2" t="s">
        <v>46</v>
      </c>
      <c r="B19" s="2" t="s">
        <v>14</v>
      </c>
      <c r="C19" s="36">
        <v>15.8</v>
      </c>
      <c r="D19" s="2">
        <v>9</v>
      </c>
      <c r="E19" s="36">
        <v>142.19999999999999</v>
      </c>
      <c r="G19" s="2" t="s">
        <v>44</v>
      </c>
      <c r="H19" s="2" t="s">
        <v>109</v>
      </c>
      <c r="I19" s="2">
        <f t="shared" si="1"/>
        <v>525.46</v>
      </c>
    </row>
    <row r="20" spans="1:9" x14ac:dyDescent="0.25">
      <c r="A20" s="2" t="s">
        <v>44</v>
      </c>
      <c r="B20" s="2" t="s">
        <v>17</v>
      </c>
      <c r="C20" s="36">
        <v>55.9</v>
      </c>
      <c r="D20" s="2">
        <v>17</v>
      </c>
      <c r="E20" s="36">
        <v>950.3</v>
      </c>
      <c r="G20" s="2" t="s">
        <v>45</v>
      </c>
      <c r="H20" s="2" t="s">
        <v>110</v>
      </c>
      <c r="I20" s="2">
        <f t="shared" si="1"/>
        <v>75.300000000000011</v>
      </c>
    </row>
    <row r="21" spans="1:9" x14ac:dyDescent="0.25">
      <c r="A21" s="2" t="s">
        <v>42</v>
      </c>
      <c r="B21" s="2" t="s">
        <v>16</v>
      </c>
      <c r="C21" s="36">
        <v>8.4</v>
      </c>
      <c r="D21" s="2">
        <v>1</v>
      </c>
      <c r="E21" s="36">
        <v>8.4</v>
      </c>
      <c r="G21" s="2" t="s">
        <v>46</v>
      </c>
      <c r="H21" s="2" t="s">
        <v>111</v>
      </c>
      <c r="I21" s="2">
        <f t="shared" si="1"/>
        <v>123.24000000000001</v>
      </c>
    </row>
    <row r="22" spans="1:9" x14ac:dyDescent="0.25">
      <c r="A22" s="2" t="s">
        <v>42</v>
      </c>
      <c r="B22" s="2" t="s">
        <v>16</v>
      </c>
      <c r="C22" s="36">
        <v>8.4</v>
      </c>
      <c r="D22" s="2">
        <v>5</v>
      </c>
      <c r="E22" s="36">
        <v>42</v>
      </c>
      <c r="G22" s="10" t="s">
        <v>47</v>
      </c>
      <c r="H22" s="2" t="s">
        <v>112</v>
      </c>
      <c r="I22" s="2">
        <f t="shared" si="1"/>
        <v>99.933333333333337</v>
      </c>
    </row>
    <row r="23" spans="1:9" x14ac:dyDescent="0.25">
      <c r="A23" s="2" t="s">
        <v>41</v>
      </c>
      <c r="B23" s="2" t="s">
        <v>17</v>
      </c>
      <c r="C23" s="36">
        <v>10</v>
      </c>
      <c r="D23" s="2">
        <v>12</v>
      </c>
      <c r="E23" s="36">
        <v>120</v>
      </c>
      <c r="G23" s="10" t="s">
        <v>48</v>
      </c>
      <c r="H23" s="2" t="s">
        <v>113</v>
      </c>
      <c r="I23" s="2">
        <f t="shared" si="1"/>
        <v>160.65</v>
      </c>
    </row>
    <row r="24" spans="1:9" x14ac:dyDescent="0.25">
      <c r="A24" s="2" t="s">
        <v>46</v>
      </c>
      <c r="B24" s="2" t="s">
        <v>17</v>
      </c>
      <c r="C24" s="36">
        <v>15.8</v>
      </c>
      <c r="D24" s="2">
        <v>3</v>
      </c>
      <c r="E24" s="36">
        <v>47.4</v>
      </c>
    </row>
    <row r="25" spans="1:9" x14ac:dyDescent="0.25">
      <c r="A25" s="2" t="s">
        <v>46</v>
      </c>
      <c r="B25" s="2" t="s">
        <v>15</v>
      </c>
      <c r="C25" s="36">
        <v>15.8</v>
      </c>
      <c r="D25" s="2">
        <v>9</v>
      </c>
      <c r="E25" s="36">
        <v>142.19999999999999</v>
      </c>
    </row>
    <row r="26" spans="1:9" x14ac:dyDescent="0.25">
      <c r="A26" s="2" t="s">
        <v>42</v>
      </c>
      <c r="B26" s="2" t="s">
        <v>14</v>
      </c>
      <c r="C26" s="36">
        <v>8.4</v>
      </c>
      <c r="D26" s="2">
        <v>10</v>
      </c>
      <c r="E26" s="36">
        <v>84</v>
      </c>
    </row>
    <row r="27" spans="1:9" x14ac:dyDescent="0.25">
      <c r="A27" s="2" t="s">
        <v>48</v>
      </c>
      <c r="B27" s="2" t="s">
        <v>16</v>
      </c>
      <c r="C27" s="36">
        <v>12.75</v>
      </c>
      <c r="D27" s="2">
        <v>9</v>
      </c>
      <c r="E27" s="36">
        <v>114.75</v>
      </c>
    </row>
    <row r="28" spans="1:9" x14ac:dyDescent="0.25">
      <c r="A28" s="2" t="s">
        <v>43</v>
      </c>
      <c r="B28" s="2" t="s">
        <v>17</v>
      </c>
      <c r="C28" s="36">
        <v>12.55</v>
      </c>
      <c r="D28" s="2">
        <v>1</v>
      </c>
      <c r="E28" s="36">
        <v>12.55</v>
      </c>
    </row>
    <row r="29" spans="1:9" x14ac:dyDescent="0.25">
      <c r="A29" s="2" t="s">
        <v>47</v>
      </c>
      <c r="B29" s="2" t="s">
        <v>17</v>
      </c>
      <c r="C29" s="36">
        <v>14.99</v>
      </c>
      <c r="D29" s="2">
        <v>7</v>
      </c>
      <c r="E29" s="36">
        <v>104.93</v>
      </c>
    </row>
    <row r="30" spans="1:9" x14ac:dyDescent="0.25">
      <c r="A30" s="2" t="s">
        <v>46</v>
      </c>
      <c r="B30" s="2" t="s">
        <v>15</v>
      </c>
      <c r="C30" s="36">
        <v>15.8</v>
      </c>
      <c r="D30" s="2">
        <v>16</v>
      </c>
      <c r="E30" s="36">
        <v>252.8</v>
      </c>
    </row>
    <row r="31" spans="1:9" x14ac:dyDescent="0.25">
      <c r="A31" s="2" t="s">
        <v>48</v>
      </c>
      <c r="B31" s="2" t="s">
        <v>17</v>
      </c>
      <c r="C31" s="36">
        <v>12.75</v>
      </c>
      <c r="D31" s="2">
        <v>16</v>
      </c>
      <c r="E31" s="36">
        <v>204</v>
      </c>
    </row>
    <row r="32" spans="1:9" x14ac:dyDescent="0.25">
      <c r="A32" s="2" t="s">
        <v>43</v>
      </c>
      <c r="B32" s="2" t="s">
        <v>15</v>
      </c>
      <c r="C32" s="36">
        <v>12.55</v>
      </c>
      <c r="D32" s="2">
        <v>4</v>
      </c>
      <c r="E32" s="36">
        <v>50.2</v>
      </c>
    </row>
    <row r="33" spans="1:5" x14ac:dyDescent="0.25">
      <c r="A33" s="2" t="s">
        <v>41</v>
      </c>
      <c r="B33" s="2" t="s">
        <v>15</v>
      </c>
      <c r="C33" s="36">
        <v>10</v>
      </c>
      <c r="D33" s="2">
        <v>9</v>
      </c>
      <c r="E33" s="36">
        <v>90</v>
      </c>
    </row>
    <row r="34" spans="1:5" x14ac:dyDescent="0.25">
      <c r="A34" s="2" t="s">
        <v>42</v>
      </c>
      <c r="B34" s="2" t="s">
        <v>14</v>
      </c>
      <c r="C34" s="36">
        <v>8.4</v>
      </c>
      <c r="D34" s="2">
        <v>14</v>
      </c>
      <c r="E34" s="36">
        <v>117.6</v>
      </c>
    </row>
    <row r="35" spans="1:5" x14ac:dyDescent="0.25">
      <c r="A35" s="2" t="s">
        <v>44</v>
      </c>
      <c r="B35" s="2" t="s">
        <v>16</v>
      </c>
      <c r="C35" s="36">
        <v>55.9</v>
      </c>
      <c r="D35" s="2">
        <v>15</v>
      </c>
      <c r="E35" s="36">
        <v>838.5</v>
      </c>
    </row>
    <row r="36" spans="1:5" x14ac:dyDescent="0.25">
      <c r="A36" s="2" t="s">
        <v>41</v>
      </c>
      <c r="B36" s="2" t="s">
        <v>17</v>
      </c>
      <c r="C36" s="36">
        <v>10</v>
      </c>
      <c r="D36" s="2">
        <v>5</v>
      </c>
      <c r="E36" s="36">
        <v>50</v>
      </c>
    </row>
    <row r="37" spans="1:5" x14ac:dyDescent="0.25">
      <c r="A37" s="2" t="s">
        <v>47</v>
      </c>
      <c r="B37" s="2" t="s">
        <v>15</v>
      </c>
      <c r="C37" s="36">
        <v>14.99</v>
      </c>
      <c r="D37" s="2">
        <v>3</v>
      </c>
      <c r="E37" s="36">
        <v>44.97</v>
      </c>
    </row>
  </sheetData>
  <mergeCells count="7">
    <mergeCell ref="G4:H4"/>
    <mergeCell ref="J4:K4"/>
    <mergeCell ref="G15:I15"/>
    <mergeCell ref="A2:E2"/>
    <mergeCell ref="A3:E3"/>
    <mergeCell ref="G2:K2"/>
    <mergeCell ref="G3:K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E1D4-C9F8-40A7-B560-284FB8500AC1}">
  <dimension ref="A1:G15"/>
  <sheetViews>
    <sheetView workbookViewId="0">
      <selection activeCell="F14" sqref="F14"/>
    </sheetView>
  </sheetViews>
  <sheetFormatPr defaultRowHeight="15" x14ac:dyDescent="0.25"/>
  <cols>
    <col min="1" max="1" width="24.7109375" bestFit="1" customWidth="1"/>
    <col min="2" max="2" width="14" bestFit="1" customWidth="1"/>
    <col min="3" max="3" width="13.85546875" bestFit="1" customWidth="1"/>
    <col min="4" max="4" width="20.5703125" style="37" customWidth="1"/>
    <col min="5" max="5" width="13" customWidth="1"/>
    <col min="6" max="6" width="17.42578125" bestFit="1" customWidth="1"/>
    <col min="7" max="7" width="17" bestFit="1" customWidth="1"/>
  </cols>
  <sheetData>
    <row r="1" spans="1:7" x14ac:dyDescent="0.25">
      <c r="A1" t="s">
        <v>114</v>
      </c>
      <c r="D1" s="40"/>
    </row>
    <row r="2" spans="1:7" ht="26.25" x14ac:dyDescent="0.4">
      <c r="A2" s="22" t="s">
        <v>0</v>
      </c>
      <c r="B2" s="23"/>
      <c r="C2" s="23"/>
      <c r="D2" s="23"/>
      <c r="E2" s="23"/>
      <c r="F2" s="23"/>
      <c r="G2" s="24"/>
    </row>
    <row r="3" spans="1:7" x14ac:dyDescent="0.25">
      <c r="A3" s="1"/>
      <c r="B3" s="1"/>
      <c r="C3" s="1"/>
      <c r="D3" s="14"/>
      <c r="E3" s="1"/>
      <c r="F3" s="1"/>
      <c r="G3" s="1"/>
    </row>
    <row r="4" spans="1:7" x14ac:dyDescent="0.25">
      <c r="A4" s="3" t="s">
        <v>2</v>
      </c>
      <c r="B4" s="3" t="s">
        <v>115</v>
      </c>
      <c r="C4" s="3" t="s">
        <v>116</v>
      </c>
      <c r="D4" s="15" t="s">
        <v>117</v>
      </c>
      <c r="E4" s="5" t="s">
        <v>118</v>
      </c>
      <c r="F4" s="5" t="s">
        <v>125</v>
      </c>
      <c r="G4" s="5" t="s">
        <v>53</v>
      </c>
    </row>
    <row r="5" spans="1:7" x14ac:dyDescent="0.25">
      <c r="A5" s="2" t="s">
        <v>14</v>
      </c>
      <c r="B5" s="42">
        <v>1000</v>
      </c>
      <c r="C5" s="42">
        <v>1561</v>
      </c>
      <c r="D5" s="41">
        <v>1300</v>
      </c>
      <c r="E5" s="42">
        <f>SUM(B5,C5,D5)</f>
        <v>3861</v>
      </c>
      <c r="F5" s="42" cm="1">
        <f t="array" ref="F5:F10">IF(E5:E10&gt;B13,E5:E10*A14,E5:E10*A13)</f>
        <v>38.61</v>
      </c>
      <c r="G5" s="20" cm="1">
        <f t="array" ref="G5:G10">IF(E5:E10&gt;B13,A14,A13)</f>
        <v>0.01</v>
      </c>
    </row>
    <row r="6" spans="1:7" x14ac:dyDescent="0.25">
      <c r="A6" s="2" t="s">
        <v>15</v>
      </c>
      <c r="B6" s="42">
        <v>3000</v>
      </c>
      <c r="C6" s="42">
        <v>1523</v>
      </c>
      <c r="D6" s="41">
        <v>1250</v>
      </c>
      <c r="E6" s="42">
        <f t="shared" ref="E6:E10" si="0">SUM(B6,C6,D6)</f>
        <v>5773</v>
      </c>
      <c r="F6" s="42">
        <v>230.92000000000002</v>
      </c>
      <c r="G6" s="20">
        <v>0.04</v>
      </c>
    </row>
    <row r="7" spans="1:7" x14ac:dyDescent="0.25">
      <c r="A7" s="2" t="s">
        <v>16</v>
      </c>
      <c r="B7" s="42">
        <v>500</v>
      </c>
      <c r="C7" s="42">
        <v>1253</v>
      </c>
      <c r="D7" s="41">
        <v>1780</v>
      </c>
      <c r="E7" s="42">
        <f t="shared" si="0"/>
        <v>3533</v>
      </c>
      <c r="F7" s="42">
        <v>35.33</v>
      </c>
      <c r="G7" s="20">
        <v>0.01</v>
      </c>
    </row>
    <row r="8" spans="1:7" x14ac:dyDescent="0.25">
      <c r="A8" s="2" t="s">
        <v>17</v>
      </c>
      <c r="B8" s="42">
        <v>1500</v>
      </c>
      <c r="C8" s="42">
        <v>1480</v>
      </c>
      <c r="D8" s="41">
        <v>1300</v>
      </c>
      <c r="E8" s="42">
        <f t="shared" si="0"/>
        <v>4280</v>
      </c>
      <c r="F8" s="42">
        <v>42.800000000000004</v>
      </c>
      <c r="G8" s="20">
        <v>0.01</v>
      </c>
    </row>
    <row r="9" spans="1:7" x14ac:dyDescent="0.25">
      <c r="A9" s="2" t="s">
        <v>16</v>
      </c>
      <c r="B9" s="42">
        <v>1560</v>
      </c>
      <c r="C9" s="42">
        <v>877</v>
      </c>
      <c r="D9" s="41">
        <v>1400</v>
      </c>
      <c r="E9" s="42">
        <f t="shared" si="0"/>
        <v>3837</v>
      </c>
      <c r="F9" s="42">
        <v>38.369999999999997</v>
      </c>
      <c r="G9" s="20">
        <v>0.01</v>
      </c>
    </row>
    <row r="10" spans="1:7" x14ac:dyDescent="0.25">
      <c r="A10" s="2" t="s">
        <v>17</v>
      </c>
      <c r="B10" s="42">
        <v>1650</v>
      </c>
      <c r="C10" s="42">
        <v>4000</v>
      </c>
      <c r="D10" s="41">
        <v>2300</v>
      </c>
      <c r="E10" s="42">
        <f t="shared" si="0"/>
        <v>7950</v>
      </c>
      <c r="F10" s="42">
        <v>318</v>
      </c>
      <c r="G10" s="20">
        <v>0.04</v>
      </c>
    </row>
    <row r="11" spans="1:7" x14ac:dyDescent="0.25">
      <c r="D11" s="40"/>
    </row>
    <row r="12" spans="1:7" x14ac:dyDescent="0.25">
      <c r="A12" s="4" t="s">
        <v>55</v>
      </c>
      <c r="B12" s="4" t="s">
        <v>119</v>
      </c>
      <c r="D12" s="14" t="s">
        <v>121</v>
      </c>
      <c r="E12" s="7">
        <f>SUM(_xlfn.ANCHORARRAY(F5))</f>
        <v>704.03</v>
      </c>
    </row>
    <row r="13" spans="1:7" ht="18" customHeight="1" x14ac:dyDescent="0.25">
      <c r="A13" s="20">
        <v>0.01</v>
      </c>
      <c r="B13" s="1">
        <v>5000</v>
      </c>
      <c r="D13" s="14" t="s">
        <v>122</v>
      </c>
      <c r="E13" s="7">
        <f>LARGE(E5:E10, 1)</f>
        <v>7950</v>
      </c>
    </row>
    <row r="14" spans="1:7" x14ac:dyDescent="0.25">
      <c r="A14" s="20">
        <v>0.04</v>
      </c>
      <c r="B14" s="1" t="s">
        <v>120</v>
      </c>
      <c r="D14" s="14" t="s">
        <v>123</v>
      </c>
      <c r="E14" s="7">
        <f>SMALL(E5:E10,1)</f>
        <v>3533</v>
      </c>
      <c r="F14" s="43"/>
    </row>
    <row r="15" spans="1:7" x14ac:dyDescent="0.25">
      <c r="D15" s="1" t="s">
        <v>124</v>
      </c>
      <c r="E15" s="7">
        <f>MEDIAN(E5:E10)</f>
        <v>4070.5</v>
      </c>
    </row>
  </sheetData>
  <mergeCells count="1">
    <mergeCell ref="A2:G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91EC-33BB-49B5-BB89-42B6833A7670}">
  <dimension ref="A1:G12"/>
  <sheetViews>
    <sheetView tabSelected="1" workbookViewId="0">
      <selection activeCell="E7" sqref="E7"/>
    </sheetView>
  </sheetViews>
  <sheetFormatPr defaultRowHeight="15" x14ac:dyDescent="0.25"/>
  <cols>
    <col min="1" max="1" width="12" bestFit="1" customWidth="1"/>
    <col min="2" max="3" width="10.85546875" customWidth="1"/>
    <col min="4" max="4" width="10.85546875" bestFit="1" customWidth="1"/>
    <col min="6" max="6" width="28.140625" customWidth="1"/>
  </cols>
  <sheetData>
    <row r="1" spans="1:7" x14ac:dyDescent="0.25">
      <c r="A1" t="s">
        <v>126</v>
      </c>
    </row>
    <row r="2" spans="1:7" x14ac:dyDescent="0.25">
      <c r="A2" s="12" t="s">
        <v>127</v>
      </c>
      <c r="B2" s="12"/>
      <c r="C2" s="12"/>
      <c r="D2" s="12"/>
      <c r="F2" s="44" t="s">
        <v>133</v>
      </c>
      <c r="G2" s="44"/>
    </row>
    <row r="3" spans="1:7" x14ac:dyDescent="0.25">
      <c r="A3" s="45" t="s">
        <v>61</v>
      </c>
      <c r="B3" s="45" t="s">
        <v>128</v>
      </c>
      <c r="C3" s="45" t="s">
        <v>129</v>
      </c>
      <c r="D3" s="45" t="s">
        <v>130</v>
      </c>
      <c r="F3" s="21" t="s">
        <v>134</v>
      </c>
      <c r="G3" s="19">
        <f>MEDIAN(D4:D10)</f>
        <v>47</v>
      </c>
    </row>
    <row r="4" spans="1:7" x14ac:dyDescent="0.25">
      <c r="A4" s="25">
        <v>6.9444444444444447E-4</v>
      </c>
      <c r="B4" s="2" t="s">
        <v>131</v>
      </c>
      <c r="C4" s="18">
        <v>3.5</v>
      </c>
      <c r="D4" s="19">
        <v>45.5</v>
      </c>
      <c r="F4" s="21" t="s">
        <v>135</v>
      </c>
      <c r="G4" s="18">
        <f>MEDIAN(C4:C10)</f>
        <v>3.85</v>
      </c>
    </row>
    <row r="5" spans="1:7" x14ac:dyDescent="0.25">
      <c r="A5" s="25">
        <v>6.5972222222222224E-2</v>
      </c>
      <c r="B5" s="2" t="s">
        <v>131</v>
      </c>
      <c r="C5" s="18">
        <v>3.85</v>
      </c>
      <c r="D5" s="19">
        <v>47</v>
      </c>
    </row>
    <row r="6" spans="1:7" x14ac:dyDescent="0.25">
      <c r="A6" s="25">
        <v>7.9166666666666663E-2</v>
      </c>
      <c r="B6" s="2" t="s">
        <v>132</v>
      </c>
      <c r="C6" s="18">
        <v>3.95</v>
      </c>
      <c r="D6" s="19">
        <v>49.7</v>
      </c>
      <c r="F6" s="44" t="s">
        <v>136</v>
      </c>
      <c r="G6" s="44"/>
    </row>
    <row r="7" spans="1:7" x14ac:dyDescent="0.25">
      <c r="A7" s="25">
        <v>9.0972222222222218E-2</v>
      </c>
      <c r="B7" s="2" t="s">
        <v>132</v>
      </c>
      <c r="C7" s="18">
        <v>3.6</v>
      </c>
      <c r="D7" s="19">
        <v>45</v>
      </c>
      <c r="F7" s="21" t="s">
        <v>131</v>
      </c>
      <c r="G7" s="2">
        <f>COUNTIF(B4:B10, "Feminino")</f>
        <v>4</v>
      </c>
    </row>
    <row r="8" spans="1:7" x14ac:dyDescent="0.25">
      <c r="A8" s="25">
        <v>0.11666666666666667</v>
      </c>
      <c r="B8" s="2" t="s">
        <v>131</v>
      </c>
      <c r="C8" s="18">
        <v>4.1100000000000003</v>
      </c>
      <c r="D8" s="19">
        <v>51</v>
      </c>
      <c r="F8" s="21" t="s">
        <v>132</v>
      </c>
      <c r="G8" s="2">
        <f>COUNTIF(B4:B10, "Masculino")</f>
        <v>3</v>
      </c>
    </row>
    <row r="9" spans="1:7" x14ac:dyDescent="0.25">
      <c r="A9" s="25">
        <v>0.13472222222222222</v>
      </c>
      <c r="B9" s="2" t="s">
        <v>132</v>
      </c>
      <c r="C9" s="18">
        <v>3.8</v>
      </c>
      <c r="D9" s="19">
        <v>47</v>
      </c>
    </row>
    <row r="10" spans="1:7" x14ac:dyDescent="0.25">
      <c r="A10" s="25">
        <v>0.14374999999999999</v>
      </c>
      <c r="B10" s="2" t="s">
        <v>131</v>
      </c>
      <c r="C10" s="18">
        <v>3.9</v>
      </c>
      <c r="D10" s="19">
        <v>48</v>
      </c>
      <c r="F10" s="45" t="s">
        <v>137</v>
      </c>
      <c r="G10" s="2"/>
    </row>
    <row r="11" spans="1:7" x14ac:dyDescent="0.25">
      <c r="F11" s="21" t="s">
        <v>131</v>
      </c>
      <c r="G11" s="2">
        <f>AVERAGEIFS($C$4:$C$10,$B$4:$B$10,F11)</f>
        <v>3.8400000000000003</v>
      </c>
    </row>
    <row r="12" spans="1:7" x14ac:dyDescent="0.25">
      <c r="F12" s="21" t="s">
        <v>132</v>
      </c>
      <c r="G12" s="18">
        <f>AVERAGEIFS($C$4:$C$10,$B$4:$B$10,F12)</f>
        <v>3.7833333333333337</v>
      </c>
    </row>
  </sheetData>
  <mergeCells count="3">
    <mergeCell ref="A2:D2"/>
    <mergeCell ref="F2:G2"/>
    <mergeCell ref="F6:G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Atividade 01</vt:lpstr>
      <vt:lpstr>Atividade 02</vt:lpstr>
      <vt:lpstr>Atividade 03</vt:lpstr>
      <vt:lpstr>Atividade 04</vt:lpstr>
      <vt:lpstr>Atividade 05</vt:lpstr>
      <vt:lpstr>Atividade 06</vt:lpstr>
      <vt:lpstr>Atividade 07</vt:lpstr>
      <vt:lpstr>Atividade 08</vt:lpstr>
      <vt:lpstr>Atividade 09</vt:lpstr>
      <vt:lpstr>Atividade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Bianchi</dc:creator>
  <cp:lastModifiedBy>João Bianchi</cp:lastModifiedBy>
  <dcterms:created xsi:type="dcterms:W3CDTF">2025-10-29T04:30:12Z</dcterms:created>
  <dcterms:modified xsi:type="dcterms:W3CDTF">2025-11-04T01:52:39Z</dcterms:modified>
</cp:coreProperties>
</file>