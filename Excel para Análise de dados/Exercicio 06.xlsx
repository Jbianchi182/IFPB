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b\OneDrive\Documents\Projetos\IFPB\Excel\"/>
    </mc:Choice>
  </mc:AlternateContent>
  <xr:revisionPtr revIDLastSave="0" documentId="13_ncr:1_{E2104585-E8AC-42B1-B9CE-2BE9F6E0F8F4}" xr6:coauthVersionLast="47" xr6:coauthVersionMax="47" xr10:uidLastSave="{00000000-0000-0000-0000-000000000000}"/>
  <bookViews>
    <workbookView xWindow="-24120" yWindow="-120" windowWidth="24240" windowHeight="13140" activeTab="1" xr2:uid="{00000000-000D-0000-FFFF-FFFF00000000}"/>
  </bookViews>
  <sheets>
    <sheet name="Base_de_dados" sheetId="1" r:id="rId1"/>
    <sheet name="Análises" sheetId="10" r:id="rId2"/>
    <sheet name="Check_duplicidade_faixa_etaria" sheetId="11" r:id="rId3"/>
    <sheet name="depara_categoria" sheetId="4" state="hidden" r:id="rId4"/>
    <sheet name="Planilha8" sheetId="9" state="hidden" r:id="rId5"/>
  </sheets>
  <definedNames>
    <definedName name="_xlnm._FilterDatabase" localSheetId="0" hidden="1">Base_de_dados!$A$1:$I$937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0" l="1"/>
  <c r="H4" i="10"/>
  <c r="H3" i="10"/>
  <c r="H2" i="10"/>
  <c r="F94" i="10"/>
  <c r="J94" i="1" s="1"/>
  <c r="F194" i="10"/>
  <c r="J194" i="1" s="1"/>
  <c r="F388" i="10"/>
  <c r="J388" i="1" s="1"/>
  <c r="F453" i="10"/>
  <c r="J453" i="1" s="1"/>
  <c r="F517" i="10"/>
  <c r="J517" i="1" s="1"/>
  <c r="F551" i="10"/>
  <c r="J551" i="1" s="1"/>
  <c r="F573" i="10"/>
  <c r="J573" i="1" s="1"/>
  <c r="F615" i="10"/>
  <c r="J615" i="1" s="1"/>
  <c r="F637" i="10"/>
  <c r="J637" i="1" s="1"/>
  <c r="F671" i="10"/>
  <c r="J671" i="1" s="1"/>
  <c r="F685" i="10"/>
  <c r="J685" i="1" s="1"/>
  <c r="F710" i="10"/>
  <c r="J710" i="1" s="1"/>
  <c r="F723" i="10"/>
  <c r="J723" i="1" s="1"/>
  <c r="F735" i="10"/>
  <c r="J735" i="1" s="1"/>
  <c r="F749" i="10"/>
  <c r="J749" i="1" s="1"/>
  <c r="F774" i="10"/>
  <c r="J774" i="1" s="1"/>
  <c r="F784" i="10"/>
  <c r="J784" i="1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2" i="10"/>
  <c r="D3" i="10"/>
  <c r="F3" i="10" s="1"/>
  <c r="J3" i="1" s="1"/>
  <c r="D4" i="10"/>
  <c r="F4" i="10" s="1"/>
  <c r="J4" i="1" s="1"/>
  <c r="D5" i="10"/>
  <c r="F5" i="10" s="1"/>
  <c r="J5" i="1" s="1"/>
  <c r="D6" i="10"/>
  <c r="F6" i="10" s="1"/>
  <c r="J6" i="1" s="1"/>
  <c r="D7" i="10"/>
  <c r="F7" i="10" s="1"/>
  <c r="J7" i="1" s="1"/>
  <c r="D8" i="10"/>
  <c r="F8" i="10" s="1"/>
  <c r="J8" i="1" s="1"/>
  <c r="D9" i="10"/>
  <c r="F9" i="10" s="1"/>
  <c r="J9" i="1" s="1"/>
  <c r="D10" i="10"/>
  <c r="F10" i="10" s="1"/>
  <c r="J10" i="1" s="1"/>
  <c r="D11" i="10"/>
  <c r="F11" i="10" s="1"/>
  <c r="J11" i="1" s="1"/>
  <c r="D12" i="10"/>
  <c r="F12" i="10" s="1"/>
  <c r="J12" i="1" s="1"/>
  <c r="D13" i="10"/>
  <c r="F13" i="10" s="1"/>
  <c r="J13" i="1" s="1"/>
  <c r="D14" i="10"/>
  <c r="F14" i="10" s="1"/>
  <c r="J14" i="1" s="1"/>
  <c r="D15" i="10"/>
  <c r="F15" i="10" s="1"/>
  <c r="J15" i="1" s="1"/>
  <c r="D16" i="10"/>
  <c r="F16" i="10" s="1"/>
  <c r="J16" i="1" s="1"/>
  <c r="D17" i="10"/>
  <c r="F17" i="10" s="1"/>
  <c r="J17" i="1" s="1"/>
  <c r="D18" i="10"/>
  <c r="F18" i="10" s="1"/>
  <c r="J18" i="1" s="1"/>
  <c r="D19" i="10"/>
  <c r="F19" i="10" s="1"/>
  <c r="D20" i="10"/>
  <c r="F20" i="10" s="1"/>
  <c r="J20" i="1" s="1"/>
  <c r="D21" i="10"/>
  <c r="F21" i="10" s="1"/>
  <c r="J21" i="1" s="1"/>
  <c r="D22" i="10"/>
  <c r="F22" i="10" s="1"/>
  <c r="J22" i="1" s="1"/>
  <c r="D23" i="10"/>
  <c r="F23" i="10" s="1"/>
  <c r="J23" i="1" s="1"/>
  <c r="D24" i="10"/>
  <c r="F24" i="10" s="1"/>
  <c r="J24" i="1" s="1"/>
  <c r="D25" i="10"/>
  <c r="F25" i="10" s="1"/>
  <c r="J25" i="1" s="1"/>
  <c r="D26" i="10"/>
  <c r="F26" i="10" s="1"/>
  <c r="J26" i="1" s="1"/>
  <c r="D27" i="10"/>
  <c r="F27" i="10" s="1"/>
  <c r="J27" i="1" s="1"/>
  <c r="D28" i="10"/>
  <c r="F28" i="10" s="1"/>
  <c r="D29" i="10"/>
  <c r="F29" i="10" s="1"/>
  <c r="J29" i="1" s="1"/>
  <c r="D30" i="10"/>
  <c r="F30" i="10" s="1"/>
  <c r="J30" i="1" s="1"/>
  <c r="D31" i="10"/>
  <c r="F31" i="10" s="1"/>
  <c r="J31" i="1" s="1"/>
  <c r="D32" i="10"/>
  <c r="F32" i="10" s="1"/>
  <c r="D33" i="10"/>
  <c r="F33" i="10" s="1"/>
  <c r="J33" i="1" s="1"/>
  <c r="D34" i="10"/>
  <c r="F34" i="10" s="1"/>
  <c r="J34" i="1" s="1"/>
  <c r="D35" i="10"/>
  <c r="F35" i="10" s="1"/>
  <c r="J35" i="1" s="1"/>
  <c r="D36" i="10"/>
  <c r="F36" i="10" s="1"/>
  <c r="J36" i="1" s="1"/>
  <c r="D37" i="10"/>
  <c r="F37" i="10" s="1"/>
  <c r="J37" i="1" s="1"/>
  <c r="D38" i="10"/>
  <c r="F38" i="10" s="1"/>
  <c r="J38" i="1" s="1"/>
  <c r="D39" i="10"/>
  <c r="F39" i="10" s="1"/>
  <c r="J39" i="1" s="1"/>
  <c r="D40" i="10"/>
  <c r="F40" i="10" s="1"/>
  <c r="J40" i="1" s="1"/>
  <c r="D41" i="10"/>
  <c r="F41" i="10" s="1"/>
  <c r="J41" i="1" s="1"/>
  <c r="D42" i="10"/>
  <c r="F42" i="10" s="1"/>
  <c r="J42" i="1" s="1"/>
  <c r="D43" i="10"/>
  <c r="F43" i="10" s="1"/>
  <c r="J43" i="1" s="1"/>
  <c r="D44" i="10"/>
  <c r="F44" i="10" s="1"/>
  <c r="J44" i="1" s="1"/>
  <c r="D45" i="10"/>
  <c r="F45" i="10" s="1"/>
  <c r="J45" i="1" s="1"/>
  <c r="D46" i="10"/>
  <c r="F46" i="10" s="1"/>
  <c r="J46" i="1" s="1"/>
  <c r="D47" i="10"/>
  <c r="F47" i="10" s="1"/>
  <c r="J47" i="1" s="1"/>
  <c r="D48" i="10"/>
  <c r="F48" i="10" s="1"/>
  <c r="J48" i="1" s="1"/>
  <c r="D49" i="10"/>
  <c r="F49" i="10" s="1"/>
  <c r="J49" i="1" s="1"/>
  <c r="D50" i="10"/>
  <c r="F50" i="10" s="1"/>
  <c r="J50" i="1" s="1"/>
  <c r="D51" i="10"/>
  <c r="F51" i="10" s="1"/>
  <c r="J51" i="1" s="1"/>
  <c r="D52" i="10"/>
  <c r="F52" i="10" s="1"/>
  <c r="J52" i="1" s="1"/>
  <c r="D53" i="10"/>
  <c r="F53" i="10" s="1"/>
  <c r="J53" i="1" s="1"/>
  <c r="D54" i="10"/>
  <c r="F54" i="10" s="1"/>
  <c r="J54" i="1" s="1"/>
  <c r="D55" i="10"/>
  <c r="F55" i="10" s="1"/>
  <c r="J55" i="1" s="1"/>
  <c r="D56" i="10"/>
  <c r="F56" i="10" s="1"/>
  <c r="J56" i="1" s="1"/>
  <c r="D57" i="10"/>
  <c r="F57" i="10" s="1"/>
  <c r="J57" i="1" s="1"/>
  <c r="D58" i="10"/>
  <c r="F58" i="10" s="1"/>
  <c r="J58" i="1" s="1"/>
  <c r="D59" i="10"/>
  <c r="F59" i="10" s="1"/>
  <c r="J59" i="1" s="1"/>
  <c r="D60" i="10"/>
  <c r="F60" i="10" s="1"/>
  <c r="J60" i="1" s="1"/>
  <c r="D61" i="10"/>
  <c r="F61" i="10" s="1"/>
  <c r="J61" i="1" s="1"/>
  <c r="D62" i="10"/>
  <c r="F62" i="10" s="1"/>
  <c r="J62" i="1" s="1"/>
  <c r="D63" i="10"/>
  <c r="F63" i="10" s="1"/>
  <c r="J63" i="1" s="1"/>
  <c r="D64" i="10"/>
  <c r="F64" i="10" s="1"/>
  <c r="J64" i="1" s="1"/>
  <c r="D65" i="10"/>
  <c r="F65" i="10" s="1"/>
  <c r="J65" i="1" s="1"/>
  <c r="D66" i="10"/>
  <c r="F66" i="10" s="1"/>
  <c r="J66" i="1" s="1"/>
  <c r="D67" i="10"/>
  <c r="F67" i="10" s="1"/>
  <c r="J67" i="1" s="1"/>
  <c r="D68" i="10"/>
  <c r="F68" i="10" s="1"/>
  <c r="J68" i="1" s="1"/>
  <c r="D69" i="10"/>
  <c r="F69" i="10" s="1"/>
  <c r="J69" i="1" s="1"/>
  <c r="D70" i="10"/>
  <c r="F70" i="10" s="1"/>
  <c r="J70" i="1" s="1"/>
  <c r="D71" i="10"/>
  <c r="F71" i="10" s="1"/>
  <c r="J71" i="1" s="1"/>
  <c r="D72" i="10"/>
  <c r="F72" i="10" s="1"/>
  <c r="J72" i="1" s="1"/>
  <c r="D73" i="10"/>
  <c r="F73" i="10" s="1"/>
  <c r="J73" i="1" s="1"/>
  <c r="D74" i="10"/>
  <c r="F74" i="10" s="1"/>
  <c r="J74" i="1" s="1"/>
  <c r="D75" i="10"/>
  <c r="F75" i="10" s="1"/>
  <c r="J75" i="1" s="1"/>
  <c r="D76" i="10"/>
  <c r="F76" i="10" s="1"/>
  <c r="J76" i="1" s="1"/>
  <c r="D77" i="10"/>
  <c r="F77" i="10" s="1"/>
  <c r="J77" i="1" s="1"/>
  <c r="D78" i="10"/>
  <c r="F78" i="10" s="1"/>
  <c r="J78" i="1" s="1"/>
  <c r="D79" i="10"/>
  <c r="F79" i="10" s="1"/>
  <c r="J79" i="1" s="1"/>
  <c r="D80" i="10"/>
  <c r="F80" i="10" s="1"/>
  <c r="J80" i="1" s="1"/>
  <c r="D81" i="10"/>
  <c r="F81" i="10" s="1"/>
  <c r="J81" i="1" s="1"/>
  <c r="D82" i="10"/>
  <c r="F82" i="10" s="1"/>
  <c r="J82" i="1" s="1"/>
  <c r="D83" i="10"/>
  <c r="F83" i="10" s="1"/>
  <c r="J83" i="1" s="1"/>
  <c r="D84" i="10"/>
  <c r="F84" i="10" s="1"/>
  <c r="J84" i="1" s="1"/>
  <c r="D85" i="10"/>
  <c r="F85" i="10" s="1"/>
  <c r="J85" i="1" s="1"/>
  <c r="D86" i="10"/>
  <c r="F86" i="10" s="1"/>
  <c r="J86" i="1" s="1"/>
  <c r="D87" i="10"/>
  <c r="F87" i="10" s="1"/>
  <c r="J87" i="1" s="1"/>
  <c r="D88" i="10"/>
  <c r="F88" i="10" s="1"/>
  <c r="J88" i="1" s="1"/>
  <c r="D89" i="10"/>
  <c r="F89" i="10" s="1"/>
  <c r="J89" i="1" s="1"/>
  <c r="D90" i="10"/>
  <c r="F90" i="10" s="1"/>
  <c r="J90" i="1" s="1"/>
  <c r="D91" i="10"/>
  <c r="F91" i="10" s="1"/>
  <c r="J91" i="1" s="1"/>
  <c r="D92" i="10"/>
  <c r="F92" i="10" s="1"/>
  <c r="J92" i="1" s="1"/>
  <c r="D93" i="10"/>
  <c r="F93" i="10" s="1"/>
  <c r="J93" i="1" s="1"/>
  <c r="D94" i="10"/>
  <c r="D95" i="10"/>
  <c r="F95" i="10" s="1"/>
  <c r="J95" i="1" s="1"/>
  <c r="D96" i="10"/>
  <c r="F96" i="10" s="1"/>
  <c r="J96" i="1" s="1"/>
  <c r="D97" i="10"/>
  <c r="F97" i="10" s="1"/>
  <c r="J97" i="1" s="1"/>
  <c r="D98" i="10"/>
  <c r="F98" i="10" s="1"/>
  <c r="J98" i="1" s="1"/>
  <c r="D99" i="10"/>
  <c r="F99" i="10" s="1"/>
  <c r="J99" i="1" s="1"/>
  <c r="D100" i="10"/>
  <c r="F100" i="10" s="1"/>
  <c r="J100" i="1" s="1"/>
  <c r="D101" i="10"/>
  <c r="F101" i="10" s="1"/>
  <c r="J101" i="1" s="1"/>
  <c r="D102" i="10"/>
  <c r="F102" i="10" s="1"/>
  <c r="J102" i="1" s="1"/>
  <c r="D103" i="10"/>
  <c r="F103" i="10" s="1"/>
  <c r="J103" i="1" s="1"/>
  <c r="D104" i="10"/>
  <c r="F104" i="10" s="1"/>
  <c r="J104" i="1" s="1"/>
  <c r="D105" i="10"/>
  <c r="F105" i="10" s="1"/>
  <c r="J105" i="1" s="1"/>
  <c r="D106" i="10"/>
  <c r="F106" i="10" s="1"/>
  <c r="J106" i="1" s="1"/>
  <c r="D107" i="10"/>
  <c r="F107" i="10" s="1"/>
  <c r="J107" i="1" s="1"/>
  <c r="D108" i="10"/>
  <c r="F108" i="10" s="1"/>
  <c r="J108" i="1" s="1"/>
  <c r="D109" i="10"/>
  <c r="F109" i="10" s="1"/>
  <c r="J109" i="1" s="1"/>
  <c r="D110" i="10"/>
  <c r="F110" i="10" s="1"/>
  <c r="J110" i="1" s="1"/>
  <c r="D111" i="10"/>
  <c r="F111" i="10" s="1"/>
  <c r="J111" i="1" s="1"/>
  <c r="D112" i="10"/>
  <c r="F112" i="10" s="1"/>
  <c r="J112" i="1" s="1"/>
  <c r="D113" i="10"/>
  <c r="F113" i="10" s="1"/>
  <c r="J113" i="1" s="1"/>
  <c r="D114" i="10"/>
  <c r="F114" i="10" s="1"/>
  <c r="J114" i="1" s="1"/>
  <c r="D115" i="10"/>
  <c r="F115" i="10" s="1"/>
  <c r="J115" i="1" s="1"/>
  <c r="D116" i="10"/>
  <c r="F116" i="10" s="1"/>
  <c r="J116" i="1" s="1"/>
  <c r="D117" i="10"/>
  <c r="F117" i="10" s="1"/>
  <c r="J117" i="1" s="1"/>
  <c r="D118" i="10"/>
  <c r="F118" i="10" s="1"/>
  <c r="J118" i="1" s="1"/>
  <c r="D119" i="10"/>
  <c r="F119" i="10" s="1"/>
  <c r="J119" i="1" s="1"/>
  <c r="D120" i="10"/>
  <c r="F120" i="10" s="1"/>
  <c r="J120" i="1" s="1"/>
  <c r="D121" i="10"/>
  <c r="F121" i="10" s="1"/>
  <c r="J121" i="1" s="1"/>
  <c r="D122" i="10"/>
  <c r="F122" i="10" s="1"/>
  <c r="J122" i="1" s="1"/>
  <c r="D123" i="10"/>
  <c r="F123" i="10" s="1"/>
  <c r="J123" i="1" s="1"/>
  <c r="D124" i="10"/>
  <c r="F124" i="10" s="1"/>
  <c r="J124" i="1" s="1"/>
  <c r="D125" i="10"/>
  <c r="F125" i="10" s="1"/>
  <c r="J125" i="1" s="1"/>
  <c r="D126" i="10"/>
  <c r="F126" i="10" s="1"/>
  <c r="J126" i="1" s="1"/>
  <c r="D127" i="10"/>
  <c r="F127" i="10" s="1"/>
  <c r="J127" i="1" s="1"/>
  <c r="D128" i="10"/>
  <c r="F128" i="10" s="1"/>
  <c r="J128" i="1" s="1"/>
  <c r="D129" i="10"/>
  <c r="F129" i="10" s="1"/>
  <c r="J129" i="1" s="1"/>
  <c r="D130" i="10"/>
  <c r="F130" i="10" s="1"/>
  <c r="J130" i="1" s="1"/>
  <c r="D131" i="10"/>
  <c r="F131" i="10" s="1"/>
  <c r="J131" i="1" s="1"/>
  <c r="D132" i="10"/>
  <c r="F132" i="10" s="1"/>
  <c r="J132" i="1" s="1"/>
  <c r="D133" i="10"/>
  <c r="F133" i="10" s="1"/>
  <c r="J133" i="1" s="1"/>
  <c r="D134" i="10"/>
  <c r="F134" i="10" s="1"/>
  <c r="J134" i="1" s="1"/>
  <c r="D135" i="10"/>
  <c r="F135" i="10" s="1"/>
  <c r="J135" i="1" s="1"/>
  <c r="D136" i="10"/>
  <c r="F136" i="10" s="1"/>
  <c r="J136" i="1" s="1"/>
  <c r="D137" i="10"/>
  <c r="F137" i="10" s="1"/>
  <c r="J137" i="1" s="1"/>
  <c r="D138" i="10"/>
  <c r="F138" i="10" s="1"/>
  <c r="J138" i="1" s="1"/>
  <c r="D139" i="10"/>
  <c r="F139" i="10" s="1"/>
  <c r="J139" i="1" s="1"/>
  <c r="D140" i="10"/>
  <c r="F140" i="10" s="1"/>
  <c r="J140" i="1" s="1"/>
  <c r="D141" i="10"/>
  <c r="F141" i="10" s="1"/>
  <c r="J141" i="1" s="1"/>
  <c r="D142" i="10"/>
  <c r="F142" i="10" s="1"/>
  <c r="J142" i="1" s="1"/>
  <c r="D143" i="10"/>
  <c r="F143" i="10" s="1"/>
  <c r="J143" i="1" s="1"/>
  <c r="D144" i="10"/>
  <c r="F144" i="10" s="1"/>
  <c r="J144" i="1" s="1"/>
  <c r="D145" i="10"/>
  <c r="F145" i="10" s="1"/>
  <c r="J145" i="1" s="1"/>
  <c r="D146" i="10"/>
  <c r="F146" i="10" s="1"/>
  <c r="J146" i="1" s="1"/>
  <c r="D147" i="10"/>
  <c r="F147" i="10" s="1"/>
  <c r="J147" i="1" s="1"/>
  <c r="D148" i="10"/>
  <c r="F148" i="10" s="1"/>
  <c r="J148" i="1" s="1"/>
  <c r="D149" i="10"/>
  <c r="F149" i="10" s="1"/>
  <c r="J149" i="1" s="1"/>
  <c r="D150" i="10"/>
  <c r="F150" i="10" s="1"/>
  <c r="J150" i="1" s="1"/>
  <c r="D151" i="10"/>
  <c r="F151" i="10" s="1"/>
  <c r="J151" i="1" s="1"/>
  <c r="D152" i="10"/>
  <c r="F152" i="10" s="1"/>
  <c r="J152" i="1" s="1"/>
  <c r="D153" i="10"/>
  <c r="F153" i="10" s="1"/>
  <c r="J153" i="1" s="1"/>
  <c r="D154" i="10"/>
  <c r="F154" i="10" s="1"/>
  <c r="J154" i="1" s="1"/>
  <c r="D155" i="10"/>
  <c r="F155" i="10" s="1"/>
  <c r="J155" i="1" s="1"/>
  <c r="D156" i="10"/>
  <c r="F156" i="10" s="1"/>
  <c r="J156" i="1" s="1"/>
  <c r="D157" i="10"/>
  <c r="F157" i="10" s="1"/>
  <c r="J157" i="1" s="1"/>
  <c r="D158" i="10"/>
  <c r="F158" i="10" s="1"/>
  <c r="J158" i="1" s="1"/>
  <c r="D159" i="10"/>
  <c r="F159" i="10" s="1"/>
  <c r="J159" i="1" s="1"/>
  <c r="D160" i="10"/>
  <c r="F160" i="10" s="1"/>
  <c r="J160" i="1" s="1"/>
  <c r="D161" i="10"/>
  <c r="F161" i="10" s="1"/>
  <c r="J161" i="1" s="1"/>
  <c r="D162" i="10"/>
  <c r="F162" i="10" s="1"/>
  <c r="J162" i="1" s="1"/>
  <c r="D163" i="10"/>
  <c r="F163" i="10" s="1"/>
  <c r="J163" i="1" s="1"/>
  <c r="D164" i="10"/>
  <c r="F164" i="10" s="1"/>
  <c r="J164" i="1" s="1"/>
  <c r="D165" i="10"/>
  <c r="F165" i="10" s="1"/>
  <c r="J165" i="1" s="1"/>
  <c r="D166" i="10"/>
  <c r="F166" i="10" s="1"/>
  <c r="J166" i="1" s="1"/>
  <c r="D167" i="10"/>
  <c r="F167" i="10" s="1"/>
  <c r="J167" i="1" s="1"/>
  <c r="D168" i="10"/>
  <c r="F168" i="10" s="1"/>
  <c r="J168" i="1" s="1"/>
  <c r="D169" i="10"/>
  <c r="F169" i="10" s="1"/>
  <c r="J169" i="1" s="1"/>
  <c r="D170" i="10"/>
  <c r="F170" i="10" s="1"/>
  <c r="J170" i="1" s="1"/>
  <c r="D171" i="10"/>
  <c r="F171" i="10" s="1"/>
  <c r="J171" i="1" s="1"/>
  <c r="D172" i="10"/>
  <c r="F172" i="10" s="1"/>
  <c r="J172" i="1" s="1"/>
  <c r="D173" i="10"/>
  <c r="F173" i="10" s="1"/>
  <c r="J173" i="1" s="1"/>
  <c r="D174" i="10"/>
  <c r="F174" i="10" s="1"/>
  <c r="J174" i="1" s="1"/>
  <c r="D175" i="10"/>
  <c r="F175" i="10" s="1"/>
  <c r="J175" i="1" s="1"/>
  <c r="D176" i="10"/>
  <c r="F176" i="10" s="1"/>
  <c r="J176" i="1" s="1"/>
  <c r="D177" i="10"/>
  <c r="F177" i="10" s="1"/>
  <c r="J177" i="1" s="1"/>
  <c r="D178" i="10"/>
  <c r="F178" i="10" s="1"/>
  <c r="J178" i="1" s="1"/>
  <c r="D179" i="10"/>
  <c r="F179" i="10" s="1"/>
  <c r="J179" i="1" s="1"/>
  <c r="D180" i="10"/>
  <c r="F180" i="10" s="1"/>
  <c r="J180" i="1" s="1"/>
  <c r="D181" i="10"/>
  <c r="F181" i="10" s="1"/>
  <c r="J181" i="1" s="1"/>
  <c r="D182" i="10"/>
  <c r="F182" i="10" s="1"/>
  <c r="J182" i="1" s="1"/>
  <c r="D183" i="10"/>
  <c r="F183" i="10" s="1"/>
  <c r="J183" i="1" s="1"/>
  <c r="D184" i="10"/>
  <c r="F184" i="10" s="1"/>
  <c r="J184" i="1" s="1"/>
  <c r="D185" i="10"/>
  <c r="F185" i="10" s="1"/>
  <c r="J185" i="1" s="1"/>
  <c r="D186" i="10"/>
  <c r="F186" i="10" s="1"/>
  <c r="J186" i="1" s="1"/>
  <c r="D187" i="10"/>
  <c r="F187" i="10" s="1"/>
  <c r="J187" i="1" s="1"/>
  <c r="D188" i="10"/>
  <c r="F188" i="10" s="1"/>
  <c r="J188" i="1" s="1"/>
  <c r="D189" i="10"/>
  <c r="F189" i="10" s="1"/>
  <c r="J189" i="1" s="1"/>
  <c r="D190" i="10"/>
  <c r="F190" i="10" s="1"/>
  <c r="J190" i="1" s="1"/>
  <c r="D191" i="10"/>
  <c r="F191" i="10" s="1"/>
  <c r="J191" i="1" s="1"/>
  <c r="D192" i="10"/>
  <c r="F192" i="10" s="1"/>
  <c r="J192" i="1" s="1"/>
  <c r="D193" i="10"/>
  <c r="F193" i="10" s="1"/>
  <c r="J193" i="1" s="1"/>
  <c r="D194" i="10"/>
  <c r="D195" i="10"/>
  <c r="F195" i="10" s="1"/>
  <c r="J195" i="1" s="1"/>
  <c r="D196" i="10"/>
  <c r="F196" i="10" s="1"/>
  <c r="J196" i="1" s="1"/>
  <c r="D197" i="10"/>
  <c r="F197" i="10" s="1"/>
  <c r="J197" i="1" s="1"/>
  <c r="D198" i="10"/>
  <c r="F198" i="10" s="1"/>
  <c r="J198" i="1" s="1"/>
  <c r="D199" i="10"/>
  <c r="F199" i="10" s="1"/>
  <c r="J199" i="1" s="1"/>
  <c r="D200" i="10"/>
  <c r="F200" i="10" s="1"/>
  <c r="J200" i="1" s="1"/>
  <c r="D201" i="10"/>
  <c r="F201" i="10" s="1"/>
  <c r="J201" i="1" s="1"/>
  <c r="D202" i="10"/>
  <c r="F202" i="10" s="1"/>
  <c r="J202" i="1" s="1"/>
  <c r="D203" i="10"/>
  <c r="F203" i="10" s="1"/>
  <c r="J203" i="1" s="1"/>
  <c r="D204" i="10"/>
  <c r="F204" i="10" s="1"/>
  <c r="J204" i="1" s="1"/>
  <c r="D205" i="10"/>
  <c r="F205" i="10" s="1"/>
  <c r="J205" i="1" s="1"/>
  <c r="D206" i="10"/>
  <c r="F206" i="10" s="1"/>
  <c r="J206" i="1" s="1"/>
  <c r="D207" i="10"/>
  <c r="F207" i="10" s="1"/>
  <c r="J207" i="1" s="1"/>
  <c r="D208" i="10"/>
  <c r="F208" i="10" s="1"/>
  <c r="J208" i="1" s="1"/>
  <c r="D209" i="10"/>
  <c r="F209" i="10" s="1"/>
  <c r="J209" i="1" s="1"/>
  <c r="D210" i="10"/>
  <c r="F210" i="10" s="1"/>
  <c r="J210" i="1" s="1"/>
  <c r="D211" i="10"/>
  <c r="F211" i="10" s="1"/>
  <c r="J211" i="1" s="1"/>
  <c r="D212" i="10"/>
  <c r="F212" i="10" s="1"/>
  <c r="J212" i="1" s="1"/>
  <c r="D213" i="10"/>
  <c r="F213" i="10" s="1"/>
  <c r="J213" i="1" s="1"/>
  <c r="D214" i="10"/>
  <c r="F214" i="10" s="1"/>
  <c r="J214" i="1" s="1"/>
  <c r="D215" i="10"/>
  <c r="F215" i="10" s="1"/>
  <c r="J215" i="1" s="1"/>
  <c r="D216" i="10"/>
  <c r="F216" i="10" s="1"/>
  <c r="J216" i="1" s="1"/>
  <c r="D217" i="10"/>
  <c r="F217" i="10" s="1"/>
  <c r="J217" i="1" s="1"/>
  <c r="D218" i="10"/>
  <c r="F218" i="10" s="1"/>
  <c r="J218" i="1" s="1"/>
  <c r="D219" i="10"/>
  <c r="F219" i="10" s="1"/>
  <c r="J219" i="1" s="1"/>
  <c r="D220" i="10"/>
  <c r="F220" i="10" s="1"/>
  <c r="J220" i="1" s="1"/>
  <c r="D221" i="10"/>
  <c r="F221" i="10" s="1"/>
  <c r="J221" i="1" s="1"/>
  <c r="D222" i="10"/>
  <c r="F222" i="10" s="1"/>
  <c r="J222" i="1" s="1"/>
  <c r="D223" i="10"/>
  <c r="F223" i="10" s="1"/>
  <c r="J223" i="1" s="1"/>
  <c r="D224" i="10"/>
  <c r="F224" i="10" s="1"/>
  <c r="J224" i="1" s="1"/>
  <c r="D225" i="10"/>
  <c r="F225" i="10" s="1"/>
  <c r="J225" i="1" s="1"/>
  <c r="D226" i="10"/>
  <c r="F226" i="10" s="1"/>
  <c r="J226" i="1" s="1"/>
  <c r="D227" i="10"/>
  <c r="F227" i="10" s="1"/>
  <c r="J227" i="1" s="1"/>
  <c r="D228" i="10"/>
  <c r="F228" i="10" s="1"/>
  <c r="J228" i="1" s="1"/>
  <c r="D229" i="10"/>
  <c r="F229" i="10" s="1"/>
  <c r="J229" i="1" s="1"/>
  <c r="D230" i="10"/>
  <c r="F230" i="10" s="1"/>
  <c r="J230" i="1" s="1"/>
  <c r="D231" i="10"/>
  <c r="F231" i="10" s="1"/>
  <c r="J231" i="1" s="1"/>
  <c r="D232" i="10"/>
  <c r="F232" i="10" s="1"/>
  <c r="J232" i="1" s="1"/>
  <c r="D233" i="10"/>
  <c r="F233" i="10" s="1"/>
  <c r="J233" i="1" s="1"/>
  <c r="D234" i="10"/>
  <c r="F234" i="10" s="1"/>
  <c r="J234" i="1" s="1"/>
  <c r="D235" i="10"/>
  <c r="F235" i="10" s="1"/>
  <c r="J235" i="1" s="1"/>
  <c r="D236" i="10"/>
  <c r="F236" i="10" s="1"/>
  <c r="J236" i="1" s="1"/>
  <c r="D237" i="10"/>
  <c r="F237" i="10" s="1"/>
  <c r="J237" i="1" s="1"/>
  <c r="D238" i="10"/>
  <c r="F238" i="10" s="1"/>
  <c r="J238" i="1" s="1"/>
  <c r="D239" i="10"/>
  <c r="F239" i="10" s="1"/>
  <c r="J239" i="1" s="1"/>
  <c r="D240" i="10"/>
  <c r="F240" i="10" s="1"/>
  <c r="J240" i="1" s="1"/>
  <c r="D241" i="10"/>
  <c r="F241" i="10" s="1"/>
  <c r="J241" i="1" s="1"/>
  <c r="D242" i="10"/>
  <c r="F242" i="10" s="1"/>
  <c r="J242" i="1" s="1"/>
  <c r="D243" i="10"/>
  <c r="F243" i="10" s="1"/>
  <c r="J243" i="1" s="1"/>
  <c r="D244" i="10"/>
  <c r="F244" i="10" s="1"/>
  <c r="J244" i="1" s="1"/>
  <c r="D245" i="10"/>
  <c r="F245" i="10" s="1"/>
  <c r="J245" i="1" s="1"/>
  <c r="D246" i="10"/>
  <c r="F246" i="10" s="1"/>
  <c r="J246" i="1" s="1"/>
  <c r="D247" i="10"/>
  <c r="F247" i="10" s="1"/>
  <c r="J247" i="1" s="1"/>
  <c r="D248" i="10"/>
  <c r="F248" i="10" s="1"/>
  <c r="J248" i="1" s="1"/>
  <c r="D249" i="10"/>
  <c r="F249" i="10" s="1"/>
  <c r="J249" i="1" s="1"/>
  <c r="D250" i="10"/>
  <c r="F250" i="10" s="1"/>
  <c r="J250" i="1" s="1"/>
  <c r="D251" i="10"/>
  <c r="F251" i="10" s="1"/>
  <c r="J251" i="1" s="1"/>
  <c r="D252" i="10"/>
  <c r="F252" i="10" s="1"/>
  <c r="J252" i="1" s="1"/>
  <c r="D253" i="10"/>
  <c r="F253" i="10" s="1"/>
  <c r="J253" i="1" s="1"/>
  <c r="D254" i="10"/>
  <c r="F254" i="10" s="1"/>
  <c r="J254" i="1" s="1"/>
  <c r="D255" i="10"/>
  <c r="F255" i="10" s="1"/>
  <c r="J255" i="1" s="1"/>
  <c r="D256" i="10"/>
  <c r="F256" i="10" s="1"/>
  <c r="J256" i="1" s="1"/>
  <c r="D257" i="10"/>
  <c r="F257" i="10" s="1"/>
  <c r="J257" i="1" s="1"/>
  <c r="D258" i="10"/>
  <c r="F258" i="10" s="1"/>
  <c r="J258" i="1" s="1"/>
  <c r="D259" i="10"/>
  <c r="F259" i="10" s="1"/>
  <c r="J259" i="1" s="1"/>
  <c r="D260" i="10"/>
  <c r="F260" i="10" s="1"/>
  <c r="J260" i="1" s="1"/>
  <c r="D261" i="10"/>
  <c r="F261" i="10" s="1"/>
  <c r="J261" i="1" s="1"/>
  <c r="D262" i="10"/>
  <c r="F262" i="10" s="1"/>
  <c r="J262" i="1" s="1"/>
  <c r="D263" i="10"/>
  <c r="F263" i="10" s="1"/>
  <c r="J263" i="1" s="1"/>
  <c r="D264" i="10"/>
  <c r="F264" i="10" s="1"/>
  <c r="J264" i="1" s="1"/>
  <c r="D265" i="10"/>
  <c r="F265" i="10" s="1"/>
  <c r="J265" i="1" s="1"/>
  <c r="D266" i="10"/>
  <c r="F266" i="10" s="1"/>
  <c r="J266" i="1" s="1"/>
  <c r="D267" i="10"/>
  <c r="F267" i="10" s="1"/>
  <c r="J267" i="1" s="1"/>
  <c r="D268" i="10"/>
  <c r="F268" i="10" s="1"/>
  <c r="J268" i="1" s="1"/>
  <c r="D269" i="10"/>
  <c r="F269" i="10" s="1"/>
  <c r="J269" i="1" s="1"/>
  <c r="D270" i="10"/>
  <c r="F270" i="10" s="1"/>
  <c r="J270" i="1" s="1"/>
  <c r="D271" i="10"/>
  <c r="F271" i="10" s="1"/>
  <c r="J271" i="1" s="1"/>
  <c r="D272" i="10"/>
  <c r="F272" i="10" s="1"/>
  <c r="J272" i="1" s="1"/>
  <c r="D273" i="10"/>
  <c r="F273" i="10" s="1"/>
  <c r="J273" i="1" s="1"/>
  <c r="D274" i="10"/>
  <c r="F274" i="10" s="1"/>
  <c r="J274" i="1" s="1"/>
  <c r="D275" i="10"/>
  <c r="F275" i="10" s="1"/>
  <c r="J275" i="1" s="1"/>
  <c r="D276" i="10"/>
  <c r="F276" i="10" s="1"/>
  <c r="J276" i="1" s="1"/>
  <c r="D277" i="10"/>
  <c r="F277" i="10" s="1"/>
  <c r="J277" i="1" s="1"/>
  <c r="D278" i="10"/>
  <c r="F278" i="10" s="1"/>
  <c r="J278" i="1" s="1"/>
  <c r="D279" i="10"/>
  <c r="F279" i="10" s="1"/>
  <c r="J279" i="1" s="1"/>
  <c r="D280" i="10"/>
  <c r="F280" i="10" s="1"/>
  <c r="J280" i="1" s="1"/>
  <c r="D281" i="10"/>
  <c r="F281" i="10" s="1"/>
  <c r="J281" i="1" s="1"/>
  <c r="D282" i="10"/>
  <c r="F282" i="10" s="1"/>
  <c r="J282" i="1" s="1"/>
  <c r="D283" i="10"/>
  <c r="F283" i="10" s="1"/>
  <c r="J283" i="1" s="1"/>
  <c r="D284" i="10"/>
  <c r="F284" i="10" s="1"/>
  <c r="J284" i="1" s="1"/>
  <c r="D285" i="10"/>
  <c r="F285" i="10" s="1"/>
  <c r="J285" i="1" s="1"/>
  <c r="D286" i="10"/>
  <c r="F286" i="10" s="1"/>
  <c r="J286" i="1" s="1"/>
  <c r="D287" i="10"/>
  <c r="F287" i="10" s="1"/>
  <c r="J287" i="1" s="1"/>
  <c r="D288" i="10"/>
  <c r="F288" i="10" s="1"/>
  <c r="J288" i="1" s="1"/>
  <c r="D289" i="10"/>
  <c r="F289" i="10" s="1"/>
  <c r="J289" i="1" s="1"/>
  <c r="D290" i="10"/>
  <c r="F290" i="10" s="1"/>
  <c r="J290" i="1" s="1"/>
  <c r="D291" i="10"/>
  <c r="F291" i="10" s="1"/>
  <c r="J291" i="1" s="1"/>
  <c r="D292" i="10"/>
  <c r="F292" i="10" s="1"/>
  <c r="J292" i="1" s="1"/>
  <c r="D293" i="10"/>
  <c r="F293" i="10" s="1"/>
  <c r="J293" i="1" s="1"/>
  <c r="D294" i="10"/>
  <c r="F294" i="10" s="1"/>
  <c r="J294" i="1" s="1"/>
  <c r="D295" i="10"/>
  <c r="F295" i="10" s="1"/>
  <c r="J295" i="1" s="1"/>
  <c r="D296" i="10"/>
  <c r="F296" i="10" s="1"/>
  <c r="J296" i="1" s="1"/>
  <c r="D297" i="10"/>
  <c r="F297" i="10" s="1"/>
  <c r="J297" i="1" s="1"/>
  <c r="D298" i="10"/>
  <c r="F298" i="10" s="1"/>
  <c r="J298" i="1" s="1"/>
  <c r="D299" i="10"/>
  <c r="F299" i="10" s="1"/>
  <c r="J299" i="1" s="1"/>
  <c r="D300" i="10"/>
  <c r="F300" i="10" s="1"/>
  <c r="J300" i="1" s="1"/>
  <c r="D301" i="10"/>
  <c r="F301" i="10" s="1"/>
  <c r="J301" i="1" s="1"/>
  <c r="D302" i="10"/>
  <c r="F302" i="10" s="1"/>
  <c r="J302" i="1" s="1"/>
  <c r="D303" i="10"/>
  <c r="F303" i="10" s="1"/>
  <c r="J303" i="1" s="1"/>
  <c r="D304" i="10"/>
  <c r="F304" i="10" s="1"/>
  <c r="J304" i="1" s="1"/>
  <c r="D305" i="10"/>
  <c r="F305" i="10" s="1"/>
  <c r="J305" i="1" s="1"/>
  <c r="D306" i="10"/>
  <c r="F306" i="10" s="1"/>
  <c r="J306" i="1" s="1"/>
  <c r="D307" i="10"/>
  <c r="F307" i="10" s="1"/>
  <c r="J307" i="1" s="1"/>
  <c r="D308" i="10"/>
  <c r="F308" i="10" s="1"/>
  <c r="J308" i="1" s="1"/>
  <c r="D309" i="10"/>
  <c r="F309" i="10" s="1"/>
  <c r="J309" i="1" s="1"/>
  <c r="D310" i="10"/>
  <c r="F310" i="10" s="1"/>
  <c r="J310" i="1" s="1"/>
  <c r="D311" i="10"/>
  <c r="F311" i="10" s="1"/>
  <c r="J311" i="1" s="1"/>
  <c r="D312" i="10"/>
  <c r="F312" i="10" s="1"/>
  <c r="J312" i="1" s="1"/>
  <c r="D313" i="10"/>
  <c r="F313" i="10" s="1"/>
  <c r="J313" i="1" s="1"/>
  <c r="D314" i="10"/>
  <c r="F314" i="10" s="1"/>
  <c r="J314" i="1" s="1"/>
  <c r="D315" i="10"/>
  <c r="F315" i="10" s="1"/>
  <c r="J315" i="1" s="1"/>
  <c r="D316" i="10"/>
  <c r="F316" i="10" s="1"/>
  <c r="J316" i="1" s="1"/>
  <c r="D317" i="10"/>
  <c r="F317" i="10" s="1"/>
  <c r="J317" i="1" s="1"/>
  <c r="D318" i="10"/>
  <c r="F318" i="10" s="1"/>
  <c r="J318" i="1" s="1"/>
  <c r="D319" i="10"/>
  <c r="F319" i="10" s="1"/>
  <c r="J319" i="1" s="1"/>
  <c r="D320" i="10"/>
  <c r="F320" i="10" s="1"/>
  <c r="J320" i="1" s="1"/>
  <c r="D321" i="10"/>
  <c r="F321" i="10" s="1"/>
  <c r="J321" i="1" s="1"/>
  <c r="D322" i="10"/>
  <c r="F322" i="10" s="1"/>
  <c r="J322" i="1" s="1"/>
  <c r="D323" i="10"/>
  <c r="F323" i="10" s="1"/>
  <c r="J323" i="1" s="1"/>
  <c r="D324" i="10"/>
  <c r="F324" i="10" s="1"/>
  <c r="J324" i="1" s="1"/>
  <c r="D325" i="10"/>
  <c r="F325" i="10" s="1"/>
  <c r="J325" i="1" s="1"/>
  <c r="D326" i="10"/>
  <c r="F326" i="10" s="1"/>
  <c r="J326" i="1" s="1"/>
  <c r="D327" i="10"/>
  <c r="F327" i="10" s="1"/>
  <c r="J327" i="1" s="1"/>
  <c r="D328" i="10"/>
  <c r="F328" i="10" s="1"/>
  <c r="J328" i="1" s="1"/>
  <c r="D329" i="10"/>
  <c r="F329" i="10" s="1"/>
  <c r="J329" i="1" s="1"/>
  <c r="D330" i="10"/>
  <c r="F330" i="10" s="1"/>
  <c r="J330" i="1" s="1"/>
  <c r="D331" i="10"/>
  <c r="F331" i="10" s="1"/>
  <c r="J331" i="1" s="1"/>
  <c r="D332" i="10"/>
  <c r="F332" i="10" s="1"/>
  <c r="J332" i="1" s="1"/>
  <c r="D333" i="10"/>
  <c r="F333" i="10" s="1"/>
  <c r="J333" i="1" s="1"/>
  <c r="D334" i="10"/>
  <c r="F334" i="10" s="1"/>
  <c r="J334" i="1" s="1"/>
  <c r="D335" i="10"/>
  <c r="F335" i="10" s="1"/>
  <c r="J335" i="1" s="1"/>
  <c r="D336" i="10"/>
  <c r="F336" i="10" s="1"/>
  <c r="J336" i="1" s="1"/>
  <c r="D337" i="10"/>
  <c r="F337" i="10" s="1"/>
  <c r="J337" i="1" s="1"/>
  <c r="D338" i="10"/>
  <c r="F338" i="10" s="1"/>
  <c r="J338" i="1" s="1"/>
  <c r="D339" i="10"/>
  <c r="F339" i="10" s="1"/>
  <c r="J339" i="1" s="1"/>
  <c r="D340" i="10"/>
  <c r="F340" i="10" s="1"/>
  <c r="J340" i="1" s="1"/>
  <c r="D341" i="10"/>
  <c r="F341" i="10" s="1"/>
  <c r="J341" i="1" s="1"/>
  <c r="D342" i="10"/>
  <c r="F342" i="10" s="1"/>
  <c r="J342" i="1" s="1"/>
  <c r="D343" i="10"/>
  <c r="F343" i="10" s="1"/>
  <c r="J343" i="1" s="1"/>
  <c r="D344" i="10"/>
  <c r="F344" i="10" s="1"/>
  <c r="J344" i="1" s="1"/>
  <c r="D345" i="10"/>
  <c r="F345" i="10" s="1"/>
  <c r="J345" i="1" s="1"/>
  <c r="D346" i="10"/>
  <c r="F346" i="10" s="1"/>
  <c r="J346" i="1" s="1"/>
  <c r="D347" i="10"/>
  <c r="F347" i="10" s="1"/>
  <c r="J347" i="1" s="1"/>
  <c r="D348" i="10"/>
  <c r="F348" i="10" s="1"/>
  <c r="J348" i="1" s="1"/>
  <c r="D349" i="10"/>
  <c r="F349" i="10" s="1"/>
  <c r="J349" i="1" s="1"/>
  <c r="D350" i="10"/>
  <c r="F350" i="10" s="1"/>
  <c r="J350" i="1" s="1"/>
  <c r="D351" i="10"/>
  <c r="F351" i="10" s="1"/>
  <c r="J351" i="1" s="1"/>
  <c r="D352" i="10"/>
  <c r="F352" i="10" s="1"/>
  <c r="J352" i="1" s="1"/>
  <c r="D353" i="10"/>
  <c r="F353" i="10" s="1"/>
  <c r="J353" i="1" s="1"/>
  <c r="D354" i="10"/>
  <c r="F354" i="10" s="1"/>
  <c r="J354" i="1" s="1"/>
  <c r="D355" i="10"/>
  <c r="F355" i="10" s="1"/>
  <c r="J355" i="1" s="1"/>
  <c r="D356" i="10"/>
  <c r="F356" i="10" s="1"/>
  <c r="J356" i="1" s="1"/>
  <c r="D357" i="10"/>
  <c r="F357" i="10" s="1"/>
  <c r="J357" i="1" s="1"/>
  <c r="D358" i="10"/>
  <c r="F358" i="10" s="1"/>
  <c r="J358" i="1" s="1"/>
  <c r="D359" i="10"/>
  <c r="F359" i="10" s="1"/>
  <c r="J359" i="1" s="1"/>
  <c r="D360" i="10"/>
  <c r="F360" i="10" s="1"/>
  <c r="J360" i="1" s="1"/>
  <c r="D361" i="10"/>
  <c r="F361" i="10" s="1"/>
  <c r="J361" i="1" s="1"/>
  <c r="D362" i="10"/>
  <c r="F362" i="10" s="1"/>
  <c r="J362" i="1" s="1"/>
  <c r="D363" i="10"/>
  <c r="F363" i="10" s="1"/>
  <c r="J363" i="1" s="1"/>
  <c r="D364" i="10"/>
  <c r="F364" i="10" s="1"/>
  <c r="J364" i="1" s="1"/>
  <c r="D365" i="10"/>
  <c r="F365" i="10" s="1"/>
  <c r="J365" i="1" s="1"/>
  <c r="D366" i="10"/>
  <c r="F366" i="10" s="1"/>
  <c r="J366" i="1" s="1"/>
  <c r="D367" i="10"/>
  <c r="F367" i="10" s="1"/>
  <c r="J367" i="1" s="1"/>
  <c r="D368" i="10"/>
  <c r="F368" i="10" s="1"/>
  <c r="J368" i="1" s="1"/>
  <c r="D369" i="10"/>
  <c r="F369" i="10" s="1"/>
  <c r="J369" i="1" s="1"/>
  <c r="D370" i="10"/>
  <c r="F370" i="10" s="1"/>
  <c r="J370" i="1" s="1"/>
  <c r="D371" i="10"/>
  <c r="F371" i="10" s="1"/>
  <c r="J371" i="1" s="1"/>
  <c r="D372" i="10"/>
  <c r="F372" i="10" s="1"/>
  <c r="J372" i="1" s="1"/>
  <c r="D373" i="10"/>
  <c r="F373" i="10" s="1"/>
  <c r="J373" i="1" s="1"/>
  <c r="D374" i="10"/>
  <c r="F374" i="10" s="1"/>
  <c r="J374" i="1" s="1"/>
  <c r="D375" i="10"/>
  <c r="F375" i="10" s="1"/>
  <c r="J375" i="1" s="1"/>
  <c r="D376" i="10"/>
  <c r="F376" i="10" s="1"/>
  <c r="J376" i="1" s="1"/>
  <c r="D377" i="10"/>
  <c r="F377" i="10" s="1"/>
  <c r="J377" i="1" s="1"/>
  <c r="D378" i="10"/>
  <c r="F378" i="10" s="1"/>
  <c r="J378" i="1" s="1"/>
  <c r="D379" i="10"/>
  <c r="F379" i="10" s="1"/>
  <c r="J379" i="1" s="1"/>
  <c r="D380" i="10"/>
  <c r="F380" i="10" s="1"/>
  <c r="J380" i="1" s="1"/>
  <c r="D381" i="10"/>
  <c r="F381" i="10" s="1"/>
  <c r="J381" i="1" s="1"/>
  <c r="D382" i="10"/>
  <c r="F382" i="10" s="1"/>
  <c r="J382" i="1" s="1"/>
  <c r="D383" i="10"/>
  <c r="F383" i="10" s="1"/>
  <c r="J383" i="1" s="1"/>
  <c r="D384" i="10"/>
  <c r="F384" i="10" s="1"/>
  <c r="J384" i="1" s="1"/>
  <c r="D385" i="10"/>
  <c r="F385" i="10" s="1"/>
  <c r="J385" i="1" s="1"/>
  <c r="D386" i="10"/>
  <c r="F386" i="10" s="1"/>
  <c r="J386" i="1" s="1"/>
  <c r="D387" i="10"/>
  <c r="F387" i="10" s="1"/>
  <c r="J387" i="1" s="1"/>
  <c r="D388" i="10"/>
  <c r="D389" i="10"/>
  <c r="F389" i="10" s="1"/>
  <c r="J389" i="1" s="1"/>
  <c r="D390" i="10"/>
  <c r="F390" i="10" s="1"/>
  <c r="J390" i="1" s="1"/>
  <c r="D391" i="10"/>
  <c r="F391" i="10" s="1"/>
  <c r="J391" i="1" s="1"/>
  <c r="D392" i="10"/>
  <c r="F392" i="10" s="1"/>
  <c r="J392" i="1" s="1"/>
  <c r="D393" i="10"/>
  <c r="F393" i="10" s="1"/>
  <c r="J393" i="1" s="1"/>
  <c r="D394" i="10"/>
  <c r="F394" i="10" s="1"/>
  <c r="J394" i="1" s="1"/>
  <c r="D395" i="10"/>
  <c r="F395" i="10" s="1"/>
  <c r="J395" i="1" s="1"/>
  <c r="D396" i="10"/>
  <c r="F396" i="10" s="1"/>
  <c r="J396" i="1" s="1"/>
  <c r="D397" i="10"/>
  <c r="F397" i="10" s="1"/>
  <c r="J397" i="1" s="1"/>
  <c r="D398" i="10"/>
  <c r="F398" i="10" s="1"/>
  <c r="J398" i="1" s="1"/>
  <c r="D399" i="10"/>
  <c r="F399" i="10" s="1"/>
  <c r="J399" i="1" s="1"/>
  <c r="D400" i="10"/>
  <c r="F400" i="10" s="1"/>
  <c r="J400" i="1" s="1"/>
  <c r="D401" i="10"/>
  <c r="F401" i="10" s="1"/>
  <c r="J401" i="1" s="1"/>
  <c r="D402" i="10"/>
  <c r="F402" i="10" s="1"/>
  <c r="J402" i="1" s="1"/>
  <c r="D403" i="10"/>
  <c r="F403" i="10" s="1"/>
  <c r="J403" i="1" s="1"/>
  <c r="D404" i="10"/>
  <c r="F404" i="10" s="1"/>
  <c r="J404" i="1" s="1"/>
  <c r="D405" i="10"/>
  <c r="F405" i="10" s="1"/>
  <c r="J405" i="1" s="1"/>
  <c r="D406" i="10"/>
  <c r="F406" i="10" s="1"/>
  <c r="J406" i="1" s="1"/>
  <c r="D407" i="10"/>
  <c r="F407" i="10" s="1"/>
  <c r="J407" i="1" s="1"/>
  <c r="D408" i="10"/>
  <c r="F408" i="10" s="1"/>
  <c r="J408" i="1" s="1"/>
  <c r="D409" i="10"/>
  <c r="F409" i="10" s="1"/>
  <c r="J409" i="1" s="1"/>
  <c r="D410" i="10"/>
  <c r="F410" i="10" s="1"/>
  <c r="J410" i="1" s="1"/>
  <c r="D411" i="10"/>
  <c r="F411" i="10" s="1"/>
  <c r="J411" i="1" s="1"/>
  <c r="D412" i="10"/>
  <c r="F412" i="10" s="1"/>
  <c r="J412" i="1" s="1"/>
  <c r="D413" i="10"/>
  <c r="F413" i="10" s="1"/>
  <c r="J413" i="1" s="1"/>
  <c r="D414" i="10"/>
  <c r="F414" i="10" s="1"/>
  <c r="J414" i="1" s="1"/>
  <c r="D415" i="10"/>
  <c r="F415" i="10" s="1"/>
  <c r="J415" i="1" s="1"/>
  <c r="D416" i="10"/>
  <c r="F416" i="10" s="1"/>
  <c r="J416" i="1" s="1"/>
  <c r="D417" i="10"/>
  <c r="F417" i="10" s="1"/>
  <c r="J417" i="1" s="1"/>
  <c r="D418" i="10"/>
  <c r="F418" i="10" s="1"/>
  <c r="J418" i="1" s="1"/>
  <c r="D419" i="10"/>
  <c r="F419" i="10" s="1"/>
  <c r="J419" i="1" s="1"/>
  <c r="D420" i="10"/>
  <c r="F420" i="10" s="1"/>
  <c r="J420" i="1" s="1"/>
  <c r="D421" i="10"/>
  <c r="F421" i="10" s="1"/>
  <c r="J421" i="1" s="1"/>
  <c r="D422" i="10"/>
  <c r="F422" i="10" s="1"/>
  <c r="J422" i="1" s="1"/>
  <c r="D423" i="10"/>
  <c r="F423" i="10" s="1"/>
  <c r="J423" i="1" s="1"/>
  <c r="D424" i="10"/>
  <c r="F424" i="10" s="1"/>
  <c r="J424" i="1" s="1"/>
  <c r="D425" i="10"/>
  <c r="F425" i="10" s="1"/>
  <c r="J425" i="1" s="1"/>
  <c r="D426" i="10"/>
  <c r="F426" i="10" s="1"/>
  <c r="J426" i="1" s="1"/>
  <c r="D427" i="10"/>
  <c r="F427" i="10" s="1"/>
  <c r="J427" i="1" s="1"/>
  <c r="D428" i="10"/>
  <c r="F428" i="10" s="1"/>
  <c r="J428" i="1" s="1"/>
  <c r="D429" i="10"/>
  <c r="F429" i="10" s="1"/>
  <c r="J429" i="1" s="1"/>
  <c r="D430" i="10"/>
  <c r="F430" i="10" s="1"/>
  <c r="J430" i="1" s="1"/>
  <c r="D431" i="10"/>
  <c r="F431" i="10" s="1"/>
  <c r="J431" i="1" s="1"/>
  <c r="D432" i="10"/>
  <c r="F432" i="10" s="1"/>
  <c r="J432" i="1" s="1"/>
  <c r="D433" i="10"/>
  <c r="F433" i="10" s="1"/>
  <c r="J433" i="1" s="1"/>
  <c r="D434" i="10"/>
  <c r="F434" i="10" s="1"/>
  <c r="J434" i="1" s="1"/>
  <c r="D435" i="10"/>
  <c r="F435" i="10" s="1"/>
  <c r="J435" i="1" s="1"/>
  <c r="D436" i="10"/>
  <c r="F436" i="10" s="1"/>
  <c r="J436" i="1" s="1"/>
  <c r="D437" i="10"/>
  <c r="F437" i="10" s="1"/>
  <c r="J437" i="1" s="1"/>
  <c r="D438" i="10"/>
  <c r="F438" i="10" s="1"/>
  <c r="J438" i="1" s="1"/>
  <c r="D439" i="10"/>
  <c r="F439" i="10" s="1"/>
  <c r="J439" i="1" s="1"/>
  <c r="D440" i="10"/>
  <c r="F440" i="10" s="1"/>
  <c r="J440" i="1" s="1"/>
  <c r="D441" i="10"/>
  <c r="F441" i="10" s="1"/>
  <c r="J441" i="1" s="1"/>
  <c r="D442" i="10"/>
  <c r="F442" i="10" s="1"/>
  <c r="J442" i="1" s="1"/>
  <c r="D443" i="10"/>
  <c r="F443" i="10" s="1"/>
  <c r="J443" i="1" s="1"/>
  <c r="D444" i="10"/>
  <c r="F444" i="10" s="1"/>
  <c r="J444" i="1" s="1"/>
  <c r="D445" i="10"/>
  <c r="F445" i="10" s="1"/>
  <c r="J445" i="1" s="1"/>
  <c r="D446" i="10"/>
  <c r="F446" i="10" s="1"/>
  <c r="J446" i="1" s="1"/>
  <c r="D447" i="10"/>
  <c r="F447" i="10" s="1"/>
  <c r="J447" i="1" s="1"/>
  <c r="D448" i="10"/>
  <c r="F448" i="10" s="1"/>
  <c r="J448" i="1" s="1"/>
  <c r="D449" i="10"/>
  <c r="F449" i="10" s="1"/>
  <c r="J449" i="1" s="1"/>
  <c r="D450" i="10"/>
  <c r="F450" i="10" s="1"/>
  <c r="J450" i="1" s="1"/>
  <c r="D451" i="10"/>
  <c r="F451" i="10" s="1"/>
  <c r="J451" i="1" s="1"/>
  <c r="D452" i="10"/>
  <c r="F452" i="10" s="1"/>
  <c r="J452" i="1" s="1"/>
  <c r="D453" i="10"/>
  <c r="D454" i="10"/>
  <c r="F454" i="10" s="1"/>
  <c r="J454" i="1" s="1"/>
  <c r="D455" i="10"/>
  <c r="F455" i="10" s="1"/>
  <c r="J455" i="1" s="1"/>
  <c r="D456" i="10"/>
  <c r="F456" i="10" s="1"/>
  <c r="J456" i="1" s="1"/>
  <c r="D457" i="10"/>
  <c r="F457" i="10" s="1"/>
  <c r="J457" i="1" s="1"/>
  <c r="D458" i="10"/>
  <c r="F458" i="10" s="1"/>
  <c r="J458" i="1" s="1"/>
  <c r="D459" i="10"/>
  <c r="F459" i="10" s="1"/>
  <c r="J459" i="1" s="1"/>
  <c r="D460" i="10"/>
  <c r="F460" i="10" s="1"/>
  <c r="J460" i="1" s="1"/>
  <c r="D461" i="10"/>
  <c r="F461" i="10" s="1"/>
  <c r="J461" i="1" s="1"/>
  <c r="D462" i="10"/>
  <c r="F462" i="10" s="1"/>
  <c r="J462" i="1" s="1"/>
  <c r="D463" i="10"/>
  <c r="F463" i="10" s="1"/>
  <c r="J463" i="1" s="1"/>
  <c r="D464" i="10"/>
  <c r="F464" i="10" s="1"/>
  <c r="J464" i="1" s="1"/>
  <c r="D465" i="10"/>
  <c r="F465" i="10" s="1"/>
  <c r="J465" i="1" s="1"/>
  <c r="D466" i="10"/>
  <c r="F466" i="10" s="1"/>
  <c r="J466" i="1" s="1"/>
  <c r="D467" i="10"/>
  <c r="F467" i="10" s="1"/>
  <c r="J467" i="1" s="1"/>
  <c r="D468" i="10"/>
  <c r="F468" i="10" s="1"/>
  <c r="J468" i="1" s="1"/>
  <c r="D469" i="10"/>
  <c r="F469" i="10" s="1"/>
  <c r="J469" i="1" s="1"/>
  <c r="D470" i="10"/>
  <c r="F470" i="10" s="1"/>
  <c r="J470" i="1" s="1"/>
  <c r="D471" i="10"/>
  <c r="F471" i="10" s="1"/>
  <c r="J471" i="1" s="1"/>
  <c r="D472" i="10"/>
  <c r="F472" i="10" s="1"/>
  <c r="J472" i="1" s="1"/>
  <c r="D473" i="10"/>
  <c r="F473" i="10" s="1"/>
  <c r="J473" i="1" s="1"/>
  <c r="D474" i="10"/>
  <c r="F474" i="10" s="1"/>
  <c r="J474" i="1" s="1"/>
  <c r="D475" i="10"/>
  <c r="F475" i="10" s="1"/>
  <c r="J475" i="1" s="1"/>
  <c r="D476" i="10"/>
  <c r="F476" i="10" s="1"/>
  <c r="J476" i="1" s="1"/>
  <c r="D477" i="10"/>
  <c r="F477" i="10" s="1"/>
  <c r="J477" i="1" s="1"/>
  <c r="D478" i="10"/>
  <c r="F478" i="10" s="1"/>
  <c r="J478" i="1" s="1"/>
  <c r="D479" i="10"/>
  <c r="F479" i="10" s="1"/>
  <c r="J479" i="1" s="1"/>
  <c r="D480" i="10"/>
  <c r="F480" i="10" s="1"/>
  <c r="J480" i="1" s="1"/>
  <c r="D481" i="10"/>
  <c r="F481" i="10" s="1"/>
  <c r="J481" i="1" s="1"/>
  <c r="D482" i="10"/>
  <c r="F482" i="10" s="1"/>
  <c r="J482" i="1" s="1"/>
  <c r="D483" i="10"/>
  <c r="F483" i="10" s="1"/>
  <c r="J483" i="1" s="1"/>
  <c r="D484" i="10"/>
  <c r="F484" i="10" s="1"/>
  <c r="J484" i="1" s="1"/>
  <c r="D485" i="10"/>
  <c r="F485" i="10" s="1"/>
  <c r="J485" i="1" s="1"/>
  <c r="D486" i="10"/>
  <c r="F486" i="10" s="1"/>
  <c r="J486" i="1" s="1"/>
  <c r="D487" i="10"/>
  <c r="F487" i="10" s="1"/>
  <c r="J487" i="1" s="1"/>
  <c r="D488" i="10"/>
  <c r="F488" i="10" s="1"/>
  <c r="J488" i="1" s="1"/>
  <c r="D489" i="10"/>
  <c r="F489" i="10" s="1"/>
  <c r="J489" i="1" s="1"/>
  <c r="D490" i="10"/>
  <c r="F490" i="10" s="1"/>
  <c r="J490" i="1" s="1"/>
  <c r="D491" i="10"/>
  <c r="F491" i="10" s="1"/>
  <c r="J491" i="1" s="1"/>
  <c r="D492" i="10"/>
  <c r="F492" i="10" s="1"/>
  <c r="J492" i="1" s="1"/>
  <c r="D493" i="10"/>
  <c r="F493" i="10" s="1"/>
  <c r="J493" i="1" s="1"/>
  <c r="D494" i="10"/>
  <c r="F494" i="10" s="1"/>
  <c r="J494" i="1" s="1"/>
  <c r="D495" i="10"/>
  <c r="F495" i="10" s="1"/>
  <c r="J495" i="1" s="1"/>
  <c r="D496" i="10"/>
  <c r="F496" i="10" s="1"/>
  <c r="J496" i="1" s="1"/>
  <c r="D497" i="10"/>
  <c r="F497" i="10" s="1"/>
  <c r="J497" i="1" s="1"/>
  <c r="D498" i="10"/>
  <c r="F498" i="10" s="1"/>
  <c r="J498" i="1" s="1"/>
  <c r="D499" i="10"/>
  <c r="F499" i="10" s="1"/>
  <c r="J499" i="1" s="1"/>
  <c r="D500" i="10"/>
  <c r="F500" i="10" s="1"/>
  <c r="J500" i="1" s="1"/>
  <c r="D501" i="10"/>
  <c r="F501" i="10" s="1"/>
  <c r="J501" i="1" s="1"/>
  <c r="D502" i="10"/>
  <c r="F502" i="10" s="1"/>
  <c r="J502" i="1" s="1"/>
  <c r="D503" i="10"/>
  <c r="F503" i="10" s="1"/>
  <c r="J503" i="1" s="1"/>
  <c r="D504" i="10"/>
  <c r="F504" i="10" s="1"/>
  <c r="J504" i="1" s="1"/>
  <c r="D505" i="10"/>
  <c r="F505" i="10" s="1"/>
  <c r="J505" i="1" s="1"/>
  <c r="D506" i="10"/>
  <c r="F506" i="10" s="1"/>
  <c r="J506" i="1" s="1"/>
  <c r="D507" i="10"/>
  <c r="F507" i="10" s="1"/>
  <c r="J507" i="1" s="1"/>
  <c r="D508" i="10"/>
  <c r="F508" i="10" s="1"/>
  <c r="J508" i="1" s="1"/>
  <c r="D509" i="10"/>
  <c r="F509" i="10" s="1"/>
  <c r="J509" i="1" s="1"/>
  <c r="D510" i="10"/>
  <c r="F510" i="10" s="1"/>
  <c r="J510" i="1" s="1"/>
  <c r="D511" i="10"/>
  <c r="F511" i="10" s="1"/>
  <c r="J511" i="1" s="1"/>
  <c r="D512" i="10"/>
  <c r="F512" i="10" s="1"/>
  <c r="J512" i="1" s="1"/>
  <c r="D513" i="10"/>
  <c r="F513" i="10" s="1"/>
  <c r="J513" i="1" s="1"/>
  <c r="D514" i="10"/>
  <c r="F514" i="10" s="1"/>
  <c r="J514" i="1" s="1"/>
  <c r="D515" i="10"/>
  <c r="F515" i="10" s="1"/>
  <c r="J515" i="1" s="1"/>
  <c r="D516" i="10"/>
  <c r="F516" i="10" s="1"/>
  <c r="J516" i="1" s="1"/>
  <c r="D517" i="10"/>
  <c r="D518" i="10"/>
  <c r="F518" i="10" s="1"/>
  <c r="J518" i="1" s="1"/>
  <c r="D519" i="10"/>
  <c r="F519" i="10" s="1"/>
  <c r="J519" i="1" s="1"/>
  <c r="D520" i="10"/>
  <c r="F520" i="10" s="1"/>
  <c r="J520" i="1" s="1"/>
  <c r="D521" i="10"/>
  <c r="F521" i="10" s="1"/>
  <c r="J521" i="1" s="1"/>
  <c r="D522" i="10"/>
  <c r="F522" i="10" s="1"/>
  <c r="J522" i="1" s="1"/>
  <c r="D523" i="10"/>
  <c r="F523" i="10" s="1"/>
  <c r="J523" i="1" s="1"/>
  <c r="D524" i="10"/>
  <c r="F524" i="10" s="1"/>
  <c r="J524" i="1" s="1"/>
  <c r="D525" i="10"/>
  <c r="F525" i="10" s="1"/>
  <c r="J525" i="1" s="1"/>
  <c r="D526" i="10"/>
  <c r="F526" i="10" s="1"/>
  <c r="J526" i="1" s="1"/>
  <c r="D527" i="10"/>
  <c r="F527" i="10" s="1"/>
  <c r="J527" i="1" s="1"/>
  <c r="D528" i="10"/>
  <c r="F528" i="10" s="1"/>
  <c r="J528" i="1" s="1"/>
  <c r="D529" i="10"/>
  <c r="F529" i="10" s="1"/>
  <c r="J529" i="1" s="1"/>
  <c r="D530" i="10"/>
  <c r="F530" i="10" s="1"/>
  <c r="J530" i="1" s="1"/>
  <c r="D531" i="10"/>
  <c r="F531" i="10" s="1"/>
  <c r="J531" i="1" s="1"/>
  <c r="D532" i="10"/>
  <c r="F532" i="10" s="1"/>
  <c r="J532" i="1" s="1"/>
  <c r="D533" i="10"/>
  <c r="F533" i="10" s="1"/>
  <c r="J533" i="1" s="1"/>
  <c r="D534" i="10"/>
  <c r="F534" i="10" s="1"/>
  <c r="J534" i="1" s="1"/>
  <c r="D535" i="10"/>
  <c r="F535" i="10" s="1"/>
  <c r="J535" i="1" s="1"/>
  <c r="D536" i="10"/>
  <c r="F536" i="10" s="1"/>
  <c r="J536" i="1" s="1"/>
  <c r="D537" i="10"/>
  <c r="F537" i="10" s="1"/>
  <c r="J537" i="1" s="1"/>
  <c r="D538" i="10"/>
  <c r="F538" i="10" s="1"/>
  <c r="J538" i="1" s="1"/>
  <c r="D539" i="10"/>
  <c r="F539" i="10" s="1"/>
  <c r="J539" i="1" s="1"/>
  <c r="D540" i="10"/>
  <c r="F540" i="10" s="1"/>
  <c r="J540" i="1" s="1"/>
  <c r="D541" i="10"/>
  <c r="F541" i="10" s="1"/>
  <c r="J541" i="1" s="1"/>
  <c r="D542" i="10"/>
  <c r="F542" i="10" s="1"/>
  <c r="J542" i="1" s="1"/>
  <c r="D543" i="10"/>
  <c r="F543" i="10" s="1"/>
  <c r="J543" i="1" s="1"/>
  <c r="D544" i="10"/>
  <c r="F544" i="10" s="1"/>
  <c r="J544" i="1" s="1"/>
  <c r="D545" i="10"/>
  <c r="F545" i="10" s="1"/>
  <c r="J545" i="1" s="1"/>
  <c r="D546" i="10"/>
  <c r="F546" i="10" s="1"/>
  <c r="J546" i="1" s="1"/>
  <c r="D547" i="10"/>
  <c r="F547" i="10" s="1"/>
  <c r="J547" i="1" s="1"/>
  <c r="D548" i="10"/>
  <c r="F548" i="10" s="1"/>
  <c r="J548" i="1" s="1"/>
  <c r="D549" i="10"/>
  <c r="F549" i="10" s="1"/>
  <c r="J549" i="1" s="1"/>
  <c r="D550" i="10"/>
  <c r="F550" i="10" s="1"/>
  <c r="J550" i="1" s="1"/>
  <c r="D551" i="10"/>
  <c r="D552" i="10"/>
  <c r="F552" i="10" s="1"/>
  <c r="J552" i="1" s="1"/>
  <c r="D553" i="10"/>
  <c r="F553" i="10" s="1"/>
  <c r="J553" i="1" s="1"/>
  <c r="D554" i="10"/>
  <c r="F554" i="10" s="1"/>
  <c r="J554" i="1" s="1"/>
  <c r="D555" i="10"/>
  <c r="F555" i="10" s="1"/>
  <c r="J555" i="1" s="1"/>
  <c r="D556" i="10"/>
  <c r="F556" i="10" s="1"/>
  <c r="J556" i="1" s="1"/>
  <c r="D557" i="10"/>
  <c r="F557" i="10" s="1"/>
  <c r="J557" i="1" s="1"/>
  <c r="D558" i="10"/>
  <c r="F558" i="10" s="1"/>
  <c r="J558" i="1" s="1"/>
  <c r="D559" i="10"/>
  <c r="F559" i="10" s="1"/>
  <c r="J559" i="1" s="1"/>
  <c r="D560" i="10"/>
  <c r="F560" i="10" s="1"/>
  <c r="J560" i="1" s="1"/>
  <c r="D561" i="10"/>
  <c r="F561" i="10" s="1"/>
  <c r="J561" i="1" s="1"/>
  <c r="D562" i="10"/>
  <c r="F562" i="10" s="1"/>
  <c r="J562" i="1" s="1"/>
  <c r="D563" i="10"/>
  <c r="F563" i="10" s="1"/>
  <c r="J563" i="1" s="1"/>
  <c r="D564" i="10"/>
  <c r="F564" i="10" s="1"/>
  <c r="J564" i="1" s="1"/>
  <c r="D565" i="10"/>
  <c r="F565" i="10" s="1"/>
  <c r="J565" i="1" s="1"/>
  <c r="D566" i="10"/>
  <c r="F566" i="10" s="1"/>
  <c r="J566" i="1" s="1"/>
  <c r="D567" i="10"/>
  <c r="F567" i="10" s="1"/>
  <c r="J567" i="1" s="1"/>
  <c r="D568" i="10"/>
  <c r="F568" i="10" s="1"/>
  <c r="J568" i="1" s="1"/>
  <c r="D569" i="10"/>
  <c r="F569" i="10" s="1"/>
  <c r="J569" i="1" s="1"/>
  <c r="D570" i="10"/>
  <c r="F570" i="10" s="1"/>
  <c r="J570" i="1" s="1"/>
  <c r="D571" i="10"/>
  <c r="F571" i="10" s="1"/>
  <c r="J571" i="1" s="1"/>
  <c r="D572" i="10"/>
  <c r="F572" i="10" s="1"/>
  <c r="J572" i="1" s="1"/>
  <c r="D573" i="10"/>
  <c r="D574" i="10"/>
  <c r="F574" i="10" s="1"/>
  <c r="J574" i="1" s="1"/>
  <c r="D575" i="10"/>
  <c r="F575" i="10" s="1"/>
  <c r="J575" i="1" s="1"/>
  <c r="D576" i="10"/>
  <c r="F576" i="10" s="1"/>
  <c r="J576" i="1" s="1"/>
  <c r="D577" i="10"/>
  <c r="F577" i="10" s="1"/>
  <c r="J577" i="1" s="1"/>
  <c r="D578" i="10"/>
  <c r="F578" i="10" s="1"/>
  <c r="J578" i="1" s="1"/>
  <c r="D579" i="10"/>
  <c r="F579" i="10" s="1"/>
  <c r="J579" i="1" s="1"/>
  <c r="D580" i="10"/>
  <c r="F580" i="10" s="1"/>
  <c r="J580" i="1" s="1"/>
  <c r="D581" i="10"/>
  <c r="F581" i="10" s="1"/>
  <c r="J581" i="1" s="1"/>
  <c r="D582" i="10"/>
  <c r="F582" i="10" s="1"/>
  <c r="J582" i="1" s="1"/>
  <c r="D583" i="10"/>
  <c r="F583" i="10" s="1"/>
  <c r="J583" i="1" s="1"/>
  <c r="D584" i="10"/>
  <c r="F584" i="10" s="1"/>
  <c r="J584" i="1" s="1"/>
  <c r="D585" i="10"/>
  <c r="F585" i="10" s="1"/>
  <c r="J585" i="1" s="1"/>
  <c r="D586" i="10"/>
  <c r="F586" i="10" s="1"/>
  <c r="J586" i="1" s="1"/>
  <c r="D587" i="10"/>
  <c r="F587" i="10" s="1"/>
  <c r="J587" i="1" s="1"/>
  <c r="D588" i="10"/>
  <c r="F588" i="10" s="1"/>
  <c r="J588" i="1" s="1"/>
  <c r="D589" i="10"/>
  <c r="F589" i="10" s="1"/>
  <c r="J589" i="1" s="1"/>
  <c r="D590" i="10"/>
  <c r="F590" i="10" s="1"/>
  <c r="J590" i="1" s="1"/>
  <c r="D591" i="10"/>
  <c r="F591" i="10" s="1"/>
  <c r="J591" i="1" s="1"/>
  <c r="D592" i="10"/>
  <c r="F592" i="10" s="1"/>
  <c r="J592" i="1" s="1"/>
  <c r="D593" i="10"/>
  <c r="F593" i="10" s="1"/>
  <c r="J593" i="1" s="1"/>
  <c r="D594" i="10"/>
  <c r="F594" i="10" s="1"/>
  <c r="J594" i="1" s="1"/>
  <c r="D595" i="10"/>
  <c r="F595" i="10" s="1"/>
  <c r="J595" i="1" s="1"/>
  <c r="D596" i="10"/>
  <c r="F596" i="10" s="1"/>
  <c r="J596" i="1" s="1"/>
  <c r="D597" i="10"/>
  <c r="F597" i="10" s="1"/>
  <c r="J597" i="1" s="1"/>
  <c r="D598" i="10"/>
  <c r="F598" i="10" s="1"/>
  <c r="J598" i="1" s="1"/>
  <c r="D599" i="10"/>
  <c r="F599" i="10" s="1"/>
  <c r="J599" i="1" s="1"/>
  <c r="D600" i="10"/>
  <c r="F600" i="10" s="1"/>
  <c r="J600" i="1" s="1"/>
  <c r="D601" i="10"/>
  <c r="F601" i="10" s="1"/>
  <c r="J601" i="1" s="1"/>
  <c r="D602" i="10"/>
  <c r="F602" i="10" s="1"/>
  <c r="J602" i="1" s="1"/>
  <c r="D603" i="10"/>
  <c r="F603" i="10" s="1"/>
  <c r="J603" i="1" s="1"/>
  <c r="D604" i="10"/>
  <c r="F604" i="10" s="1"/>
  <c r="J604" i="1" s="1"/>
  <c r="D605" i="10"/>
  <c r="F605" i="10" s="1"/>
  <c r="J605" i="1" s="1"/>
  <c r="D606" i="10"/>
  <c r="F606" i="10" s="1"/>
  <c r="J606" i="1" s="1"/>
  <c r="D607" i="10"/>
  <c r="F607" i="10" s="1"/>
  <c r="J607" i="1" s="1"/>
  <c r="D608" i="10"/>
  <c r="F608" i="10" s="1"/>
  <c r="J608" i="1" s="1"/>
  <c r="D609" i="10"/>
  <c r="F609" i="10" s="1"/>
  <c r="J609" i="1" s="1"/>
  <c r="D610" i="10"/>
  <c r="F610" i="10" s="1"/>
  <c r="J610" i="1" s="1"/>
  <c r="D611" i="10"/>
  <c r="F611" i="10" s="1"/>
  <c r="J611" i="1" s="1"/>
  <c r="D612" i="10"/>
  <c r="F612" i="10" s="1"/>
  <c r="J612" i="1" s="1"/>
  <c r="D613" i="10"/>
  <c r="F613" i="10" s="1"/>
  <c r="J613" i="1" s="1"/>
  <c r="D614" i="10"/>
  <c r="F614" i="10" s="1"/>
  <c r="J614" i="1" s="1"/>
  <c r="D615" i="10"/>
  <c r="D616" i="10"/>
  <c r="F616" i="10" s="1"/>
  <c r="J616" i="1" s="1"/>
  <c r="D617" i="10"/>
  <c r="F617" i="10" s="1"/>
  <c r="J617" i="1" s="1"/>
  <c r="D618" i="10"/>
  <c r="F618" i="10" s="1"/>
  <c r="J618" i="1" s="1"/>
  <c r="D619" i="10"/>
  <c r="F619" i="10" s="1"/>
  <c r="J619" i="1" s="1"/>
  <c r="D620" i="10"/>
  <c r="F620" i="10" s="1"/>
  <c r="J620" i="1" s="1"/>
  <c r="D621" i="10"/>
  <c r="F621" i="10" s="1"/>
  <c r="J621" i="1" s="1"/>
  <c r="D622" i="10"/>
  <c r="F622" i="10" s="1"/>
  <c r="J622" i="1" s="1"/>
  <c r="D623" i="10"/>
  <c r="F623" i="10" s="1"/>
  <c r="J623" i="1" s="1"/>
  <c r="D624" i="10"/>
  <c r="F624" i="10" s="1"/>
  <c r="J624" i="1" s="1"/>
  <c r="D625" i="10"/>
  <c r="F625" i="10" s="1"/>
  <c r="J625" i="1" s="1"/>
  <c r="D626" i="10"/>
  <c r="F626" i="10" s="1"/>
  <c r="J626" i="1" s="1"/>
  <c r="D627" i="10"/>
  <c r="F627" i="10" s="1"/>
  <c r="J627" i="1" s="1"/>
  <c r="D628" i="10"/>
  <c r="F628" i="10" s="1"/>
  <c r="J628" i="1" s="1"/>
  <c r="D629" i="10"/>
  <c r="F629" i="10" s="1"/>
  <c r="J629" i="1" s="1"/>
  <c r="D630" i="10"/>
  <c r="F630" i="10" s="1"/>
  <c r="J630" i="1" s="1"/>
  <c r="D631" i="10"/>
  <c r="F631" i="10" s="1"/>
  <c r="J631" i="1" s="1"/>
  <c r="D632" i="10"/>
  <c r="F632" i="10" s="1"/>
  <c r="J632" i="1" s="1"/>
  <c r="D633" i="10"/>
  <c r="F633" i="10" s="1"/>
  <c r="J633" i="1" s="1"/>
  <c r="D634" i="10"/>
  <c r="F634" i="10" s="1"/>
  <c r="J634" i="1" s="1"/>
  <c r="D635" i="10"/>
  <c r="F635" i="10" s="1"/>
  <c r="J635" i="1" s="1"/>
  <c r="D636" i="10"/>
  <c r="F636" i="10" s="1"/>
  <c r="J636" i="1" s="1"/>
  <c r="D637" i="10"/>
  <c r="D638" i="10"/>
  <c r="F638" i="10" s="1"/>
  <c r="J638" i="1" s="1"/>
  <c r="D639" i="10"/>
  <c r="F639" i="10" s="1"/>
  <c r="J639" i="1" s="1"/>
  <c r="D640" i="10"/>
  <c r="F640" i="10" s="1"/>
  <c r="J640" i="1" s="1"/>
  <c r="D641" i="10"/>
  <c r="F641" i="10" s="1"/>
  <c r="J641" i="1" s="1"/>
  <c r="D642" i="10"/>
  <c r="F642" i="10" s="1"/>
  <c r="J642" i="1" s="1"/>
  <c r="D643" i="10"/>
  <c r="F643" i="10" s="1"/>
  <c r="J643" i="1" s="1"/>
  <c r="D644" i="10"/>
  <c r="F644" i="10" s="1"/>
  <c r="J644" i="1" s="1"/>
  <c r="D645" i="10"/>
  <c r="F645" i="10" s="1"/>
  <c r="J645" i="1" s="1"/>
  <c r="D646" i="10"/>
  <c r="F646" i="10" s="1"/>
  <c r="J646" i="1" s="1"/>
  <c r="D647" i="10"/>
  <c r="F647" i="10" s="1"/>
  <c r="J647" i="1" s="1"/>
  <c r="D648" i="10"/>
  <c r="F648" i="10" s="1"/>
  <c r="J648" i="1" s="1"/>
  <c r="D649" i="10"/>
  <c r="F649" i="10" s="1"/>
  <c r="J649" i="1" s="1"/>
  <c r="D650" i="10"/>
  <c r="F650" i="10" s="1"/>
  <c r="J650" i="1" s="1"/>
  <c r="D651" i="10"/>
  <c r="F651" i="10" s="1"/>
  <c r="J651" i="1" s="1"/>
  <c r="D652" i="10"/>
  <c r="F652" i="10" s="1"/>
  <c r="J652" i="1" s="1"/>
  <c r="D653" i="10"/>
  <c r="F653" i="10" s="1"/>
  <c r="J653" i="1" s="1"/>
  <c r="D654" i="10"/>
  <c r="F654" i="10" s="1"/>
  <c r="J654" i="1" s="1"/>
  <c r="D655" i="10"/>
  <c r="F655" i="10" s="1"/>
  <c r="J655" i="1" s="1"/>
  <c r="D656" i="10"/>
  <c r="F656" i="10" s="1"/>
  <c r="J656" i="1" s="1"/>
  <c r="D657" i="10"/>
  <c r="F657" i="10" s="1"/>
  <c r="J657" i="1" s="1"/>
  <c r="D658" i="10"/>
  <c r="F658" i="10" s="1"/>
  <c r="J658" i="1" s="1"/>
  <c r="D659" i="10"/>
  <c r="F659" i="10" s="1"/>
  <c r="J659" i="1" s="1"/>
  <c r="D660" i="10"/>
  <c r="F660" i="10" s="1"/>
  <c r="J660" i="1" s="1"/>
  <c r="D661" i="10"/>
  <c r="F661" i="10" s="1"/>
  <c r="J661" i="1" s="1"/>
  <c r="D662" i="10"/>
  <c r="F662" i="10" s="1"/>
  <c r="J662" i="1" s="1"/>
  <c r="D663" i="10"/>
  <c r="F663" i="10" s="1"/>
  <c r="J663" i="1" s="1"/>
  <c r="D664" i="10"/>
  <c r="F664" i="10" s="1"/>
  <c r="J664" i="1" s="1"/>
  <c r="D665" i="10"/>
  <c r="F665" i="10" s="1"/>
  <c r="J665" i="1" s="1"/>
  <c r="D666" i="10"/>
  <c r="F666" i="10" s="1"/>
  <c r="J666" i="1" s="1"/>
  <c r="D667" i="10"/>
  <c r="F667" i="10" s="1"/>
  <c r="J667" i="1" s="1"/>
  <c r="D668" i="10"/>
  <c r="F668" i="10" s="1"/>
  <c r="J668" i="1" s="1"/>
  <c r="D669" i="10"/>
  <c r="F669" i="10" s="1"/>
  <c r="J669" i="1" s="1"/>
  <c r="D670" i="10"/>
  <c r="F670" i="10" s="1"/>
  <c r="J670" i="1" s="1"/>
  <c r="D671" i="10"/>
  <c r="D672" i="10"/>
  <c r="F672" i="10" s="1"/>
  <c r="J672" i="1" s="1"/>
  <c r="D673" i="10"/>
  <c r="F673" i="10" s="1"/>
  <c r="J673" i="1" s="1"/>
  <c r="D674" i="10"/>
  <c r="F674" i="10" s="1"/>
  <c r="J674" i="1" s="1"/>
  <c r="D675" i="10"/>
  <c r="F675" i="10" s="1"/>
  <c r="J675" i="1" s="1"/>
  <c r="D676" i="10"/>
  <c r="F676" i="10" s="1"/>
  <c r="J676" i="1" s="1"/>
  <c r="D677" i="10"/>
  <c r="F677" i="10" s="1"/>
  <c r="J677" i="1" s="1"/>
  <c r="D678" i="10"/>
  <c r="F678" i="10" s="1"/>
  <c r="J678" i="1" s="1"/>
  <c r="D679" i="10"/>
  <c r="F679" i="10" s="1"/>
  <c r="J679" i="1" s="1"/>
  <c r="D680" i="10"/>
  <c r="F680" i="10" s="1"/>
  <c r="J680" i="1" s="1"/>
  <c r="D681" i="10"/>
  <c r="F681" i="10" s="1"/>
  <c r="J681" i="1" s="1"/>
  <c r="D682" i="10"/>
  <c r="F682" i="10" s="1"/>
  <c r="J682" i="1" s="1"/>
  <c r="D683" i="10"/>
  <c r="F683" i="10" s="1"/>
  <c r="J683" i="1" s="1"/>
  <c r="D684" i="10"/>
  <c r="F684" i="10" s="1"/>
  <c r="J684" i="1" s="1"/>
  <c r="D685" i="10"/>
  <c r="D686" i="10"/>
  <c r="F686" i="10" s="1"/>
  <c r="J686" i="1" s="1"/>
  <c r="D687" i="10"/>
  <c r="F687" i="10" s="1"/>
  <c r="J687" i="1" s="1"/>
  <c r="D688" i="10"/>
  <c r="F688" i="10" s="1"/>
  <c r="J688" i="1" s="1"/>
  <c r="D689" i="10"/>
  <c r="F689" i="10" s="1"/>
  <c r="J689" i="1" s="1"/>
  <c r="D690" i="10"/>
  <c r="F690" i="10" s="1"/>
  <c r="J690" i="1" s="1"/>
  <c r="D691" i="10"/>
  <c r="F691" i="10" s="1"/>
  <c r="J691" i="1" s="1"/>
  <c r="D692" i="10"/>
  <c r="F692" i="10" s="1"/>
  <c r="J692" i="1" s="1"/>
  <c r="D693" i="10"/>
  <c r="F693" i="10" s="1"/>
  <c r="J693" i="1" s="1"/>
  <c r="D694" i="10"/>
  <c r="F694" i="10" s="1"/>
  <c r="J694" i="1" s="1"/>
  <c r="D695" i="10"/>
  <c r="F695" i="10" s="1"/>
  <c r="J695" i="1" s="1"/>
  <c r="D696" i="10"/>
  <c r="F696" i="10" s="1"/>
  <c r="J696" i="1" s="1"/>
  <c r="D697" i="10"/>
  <c r="F697" i="10" s="1"/>
  <c r="J697" i="1" s="1"/>
  <c r="D698" i="10"/>
  <c r="F698" i="10" s="1"/>
  <c r="J698" i="1" s="1"/>
  <c r="D699" i="10"/>
  <c r="F699" i="10" s="1"/>
  <c r="J699" i="1" s="1"/>
  <c r="D700" i="10"/>
  <c r="F700" i="10" s="1"/>
  <c r="J700" i="1" s="1"/>
  <c r="D701" i="10"/>
  <c r="F701" i="10" s="1"/>
  <c r="J701" i="1" s="1"/>
  <c r="D702" i="10"/>
  <c r="F702" i="10" s="1"/>
  <c r="J702" i="1" s="1"/>
  <c r="D703" i="10"/>
  <c r="F703" i="10" s="1"/>
  <c r="J703" i="1" s="1"/>
  <c r="D704" i="10"/>
  <c r="F704" i="10" s="1"/>
  <c r="J704" i="1" s="1"/>
  <c r="D705" i="10"/>
  <c r="F705" i="10" s="1"/>
  <c r="J705" i="1" s="1"/>
  <c r="D706" i="10"/>
  <c r="F706" i="10" s="1"/>
  <c r="J706" i="1" s="1"/>
  <c r="D707" i="10"/>
  <c r="F707" i="10" s="1"/>
  <c r="J707" i="1" s="1"/>
  <c r="D708" i="10"/>
  <c r="F708" i="10" s="1"/>
  <c r="J708" i="1" s="1"/>
  <c r="D709" i="10"/>
  <c r="F709" i="10" s="1"/>
  <c r="J709" i="1" s="1"/>
  <c r="D710" i="10"/>
  <c r="D711" i="10"/>
  <c r="F711" i="10" s="1"/>
  <c r="J711" i="1" s="1"/>
  <c r="D712" i="10"/>
  <c r="F712" i="10" s="1"/>
  <c r="J712" i="1" s="1"/>
  <c r="D713" i="10"/>
  <c r="F713" i="10" s="1"/>
  <c r="J713" i="1" s="1"/>
  <c r="D714" i="10"/>
  <c r="F714" i="10" s="1"/>
  <c r="J714" i="1" s="1"/>
  <c r="D715" i="10"/>
  <c r="F715" i="10" s="1"/>
  <c r="J715" i="1" s="1"/>
  <c r="D716" i="10"/>
  <c r="F716" i="10" s="1"/>
  <c r="J716" i="1" s="1"/>
  <c r="D717" i="10"/>
  <c r="F717" i="10" s="1"/>
  <c r="J717" i="1" s="1"/>
  <c r="D718" i="10"/>
  <c r="F718" i="10" s="1"/>
  <c r="J718" i="1" s="1"/>
  <c r="D719" i="10"/>
  <c r="F719" i="10" s="1"/>
  <c r="J719" i="1" s="1"/>
  <c r="D720" i="10"/>
  <c r="F720" i="10" s="1"/>
  <c r="J720" i="1" s="1"/>
  <c r="D721" i="10"/>
  <c r="F721" i="10" s="1"/>
  <c r="J721" i="1" s="1"/>
  <c r="D722" i="10"/>
  <c r="F722" i="10" s="1"/>
  <c r="J722" i="1" s="1"/>
  <c r="D723" i="10"/>
  <c r="D724" i="10"/>
  <c r="F724" i="10" s="1"/>
  <c r="J724" i="1" s="1"/>
  <c r="D725" i="10"/>
  <c r="F725" i="10" s="1"/>
  <c r="J725" i="1" s="1"/>
  <c r="D726" i="10"/>
  <c r="F726" i="10" s="1"/>
  <c r="J726" i="1" s="1"/>
  <c r="D727" i="10"/>
  <c r="F727" i="10" s="1"/>
  <c r="J727" i="1" s="1"/>
  <c r="D728" i="10"/>
  <c r="F728" i="10" s="1"/>
  <c r="J728" i="1" s="1"/>
  <c r="D729" i="10"/>
  <c r="F729" i="10" s="1"/>
  <c r="J729" i="1" s="1"/>
  <c r="D730" i="10"/>
  <c r="F730" i="10" s="1"/>
  <c r="J730" i="1" s="1"/>
  <c r="D731" i="10"/>
  <c r="F731" i="10" s="1"/>
  <c r="J731" i="1" s="1"/>
  <c r="D732" i="10"/>
  <c r="F732" i="10" s="1"/>
  <c r="J732" i="1" s="1"/>
  <c r="D733" i="10"/>
  <c r="F733" i="10" s="1"/>
  <c r="J733" i="1" s="1"/>
  <c r="D734" i="10"/>
  <c r="F734" i="10" s="1"/>
  <c r="J734" i="1" s="1"/>
  <c r="D735" i="10"/>
  <c r="D736" i="10"/>
  <c r="F736" i="10" s="1"/>
  <c r="J736" i="1" s="1"/>
  <c r="D737" i="10"/>
  <c r="F737" i="10" s="1"/>
  <c r="J737" i="1" s="1"/>
  <c r="D738" i="10"/>
  <c r="F738" i="10" s="1"/>
  <c r="J738" i="1" s="1"/>
  <c r="D739" i="10"/>
  <c r="F739" i="10" s="1"/>
  <c r="J739" i="1" s="1"/>
  <c r="D740" i="10"/>
  <c r="F740" i="10" s="1"/>
  <c r="J740" i="1" s="1"/>
  <c r="D741" i="10"/>
  <c r="F741" i="10" s="1"/>
  <c r="J741" i="1" s="1"/>
  <c r="D742" i="10"/>
  <c r="F742" i="10" s="1"/>
  <c r="J742" i="1" s="1"/>
  <c r="D743" i="10"/>
  <c r="F743" i="10" s="1"/>
  <c r="J743" i="1" s="1"/>
  <c r="D744" i="10"/>
  <c r="F744" i="10" s="1"/>
  <c r="J744" i="1" s="1"/>
  <c r="D745" i="10"/>
  <c r="F745" i="10" s="1"/>
  <c r="J745" i="1" s="1"/>
  <c r="D746" i="10"/>
  <c r="F746" i="10" s="1"/>
  <c r="J746" i="1" s="1"/>
  <c r="D747" i="10"/>
  <c r="F747" i="10" s="1"/>
  <c r="J747" i="1" s="1"/>
  <c r="D748" i="10"/>
  <c r="F748" i="10" s="1"/>
  <c r="J748" i="1" s="1"/>
  <c r="D749" i="10"/>
  <c r="D750" i="10"/>
  <c r="F750" i="10" s="1"/>
  <c r="J750" i="1" s="1"/>
  <c r="D751" i="10"/>
  <c r="F751" i="10" s="1"/>
  <c r="J751" i="1" s="1"/>
  <c r="D752" i="10"/>
  <c r="F752" i="10" s="1"/>
  <c r="J752" i="1" s="1"/>
  <c r="D753" i="10"/>
  <c r="F753" i="10" s="1"/>
  <c r="J753" i="1" s="1"/>
  <c r="D754" i="10"/>
  <c r="F754" i="10" s="1"/>
  <c r="J754" i="1" s="1"/>
  <c r="D755" i="10"/>
  <c r="F755" i="10" s="1"/>
  <c r="J755" i="1" s="1"/>
  <c r="D756" i="10"/>
  <c r="F756" i="10" s="1"/>
  <c r="J756" i="1" s="1"/>
  <c r="D757" i="10"/>
  <c r="F757" i="10" s="1"/>
  <c r="J757" i="1" s="1"/>
  <c r="D758" i="10"/>
  <c r="F758" i="10" s="1"/>
  <c r="J758" i="1" s="1"/>
  <c r="D759" i="10"/>
  <c r="F759" i="10" s="1"/>
  <c r="J759" i="1" s="1"/>
  <c r="D760" i="10"/>
  <c r="F760" i="10" s="1"/>
  <c r="J760" i="1" s="1"/>
  <c r="D761" i="10"/>
  <c r="F761" i="10" s="1"/>
  <c r="J761" i="1" s="1"/>
  <c r="D762" i="10"/>
  <c r="F762" i="10" s="1"/>
  <c r="J762" i="1" s="1"/>
  <c r="D763" i="10"/>
  <c r="F763" i="10" s="1"/>
  <c r="J763" i="1" s="1"/>
  <c r="D764" i="10"/>
  <c r="F764" i="10" s="1"/>
  <c r="J764" i="1" s="1"/>
  <c r="D765" i="10"/>
  <c r="F765" i="10" s="1"/>
  <c r="J765" i="1" s="1"/>
  <c r="D766" i="10"/>
  <c r="F766" i="10" s="1"/>
  <c r="J766" i="1" s="1"/>
  <c r="D767" i="10"/>
  <c r="F767" i="10" s="1"/>
  <c r="J767" i="1" s="1"/>
  <c r="D768" i="10"/>
  <c r="F768" i="10" s="1"/>
  <c r="J768" i="1" s="1"/>
  <c r="D769" i="10"/>
  <c r="F769" i="10" s="1"/>
  <c r="J769" i="1" s="1"/>
  <c r="D770" i="10"/>
  <c r="F770" i="10" s="1"/>
  <c r="J770" i="1" s="1"/>
  <c r="D771" i="10"/>
  <c r="F771" i="10" s="1"/>
  <c r="J771" i="1" s="1"/>
  <c r="D772" i="10"/>
  <c r="F772" i="10" s="1"/>
  <c r="J772" i="1" s="1"/>
  <c r="D773" i="10"/>
  <c r="F773" i="10" s="1"/>
  <c r="J773" i="1" s="1"/>
  <c r="D774" i="10"/>
  <c r="D775" i="10"/>
  <c r="F775" i="10" s="1"/>
  <c r="J775" i="1" s="1"/>
  <c r="D776" i="10"/>
  <c r="F776" i="10" s="1"/>
  <c r="J776" i="1" s="1"/>
  <c r="D777" i="10"/>
  <c r="F777" i="10" s="1"/>
  <c r="J777" i="1" s="1"/>
  <c r="D778" i="10"/>
  <c r="F778" i="10" s="1"/>
  <c r="J778" i="1" s="1"/>
  <c r="D779" i="10"/>
  <c r="F779" i="10" s="1"/>
  <c r="J779" i="1" s="1"/>
  <c r="D780" i="10"/>
  <c r="F780" i="10" s="1"/>
  <c r="J780" i="1" s="1"/>
  <c r="D781" i="10"/>
  <c r="F781" i="10" s="1"/>
  <c r="J781" i="1" s="1"/>
  <c r="D782" i="10"/>
  <c r="F782" i="10" s="1"/>
  <c r="J782" i="1" s="1"/>
  <c r="D783" i="10"/>
  <c r="F783" i="10" s="1"/>
  <c r="J783" i="1" s="1"/>
  <c r="D784" i="10"/>
  <c r="D785" i="10"/>
  <c r="F785" i="10" s="1"/>
  <c r="J785" i="1" s="1"/>
  <c r="D786" i="10"/>
  <c r="F786" i="10" s="1"/>
  <c r="J786" i="1" s="1"/>
  <c r="D787" i="10"/>
  <c r="F787" i="10" s="1"/>
  <c r="J787" i="1" s="1"/>
  <c r="D788" i="10"/>
  <c r="F788" i="10" s="1"/>
  <c r="J788" i="1" s="1"/>
  <c r="D789" i="10"/>
  <c r="F789" i="10" s="1"/>
  <c r="J789" i="1" s="1"/>
  <c r="D790" i="10"/>
  <c r="F790" i="10" s="1"/>
  <c r="J790" i="1" s="1"/>
  <c r="D791" i="10"/>
  <c r="F791" i="10" s="1"/>
  <c r="J791" i="1" s="1"/>
  <c r="D792" i="10"/>
  <c r="F792" i="10" s="1"/>
  <c r="J792" i="1" s="1"/>
  <c r="D793" i="10"/>
  <c r="F793" i="10" s="1"/>
  <c r="J793" i="1" s="1"/>
  <c r="D794" i="10"/>
  <c r="F794" i="10" s="1"/>
  <c r="J794" i="1" s="1"/>
  <c r="D795" i="10"/>
  <c r="F795" i="10" s="1"/>
  <c r="J795" i="1" s="1"/>
  <c r="D796" i="10"/>
  <c r="F796" i="10" s="1"/>
  <c r="J796" i="1" s="1"/>
  <c r="D797" i="10"/>
  <c r="F797" i="10" s="1"/>
  <c r="J797" i="1" s="1"/>
  <c r="D798" i="10"/>
  <c r="F798" i="10" s="1"/>
  <c r="J798" i="1" s="1"/>
  <c r="D799" i="10"/>
  <c r="F799" i="10" s="1"/>
  <c r="J799" i="1" s="1"/>
  <c r="D800" i="10"/>
  <c r="F800" i="10" s="1"/>
  <c r="J800" i="1" s="1"/>
  <c r="D801" i="10"/>
  <c r="F801" i="10" s="1"/>
  <c r="J801" i="1" s="1"/>
  <c r="D802" i="10"/>
  <c r="F802" i="10" s="1"/>
  <c r="J802" i="1" s="1"/>
  <c r="D803" i="10"/>
  <c r="F803" i="10" s="1"/>
  <c r="J803" i="1" s="1"/>
  <c r="D804" i="10"/>
  <c r="F804" i="10" s="1"/>
  <c r="J804" i="1" s="1"/>
  <c r="D805" i="10"/>
  <c r="F805" i="10" s="1"/>
  <c r="J805" i="1" s="1"/>
  <c r="D806" i="10"/>
  <c r="F806" i="10" s="1"/>
  <c r="J806" i="1" s="1"/>
  <c r="D807" i="10"/>
  <c r="F807" i="10" s="1"/>
  <c r="J807" i="1" s="1"/>
  <c r="D808" i="10"/>
  <c r="F808" i="10" s="1"/>
  <c r="J808" i="1" s="1"/>
  <c r="D809" i="10"/>
  <c r="F809" i="10" s="1"/>
  <c r="J809" i="1" s="1"/>
  <c r="D810" i="10"/>
  <c r="F810" i="10" s="1"/>
  <c r="J810" i="1" s="1"/>
  <c r="D811" i="10"/>
  <c r="F811" i="10" s="1"/>
  <c r="J811" i="1" s="1"/>
  <c r="D812" i="10"/>
  <c r="F812" i="10" s="1"/>
  <c r="J812" i="1" s="1"/>
  <c r="D813" i="10"/>
  <c r="F813" i="10" s="1"/>
  <c r="J813" i="1" s="1"/>
  <c r="D814" i="10"/>
  <c r="F814" i="10" s="1"/>
  <c r="J814" i="1" s="1"/>
  <c r="D815" i="10"/>
  <c r="F815" i="10" s="1"/>
  <c r="J815" i="1" s="1"/>
  <c r="D816" i="10"/>
  <c r="F816" i="10" s="1"/>
  <c r="J816" i="1" s="1"/>
  <c r="D817" i="10"/>
  <c r="F817" i="10" s="1"/>
  <c r="J817" i="1" s="1"/>
  <c r="D818" i="10"/>
  <c r="F818" i="10" s="1"/>
  <c r="J818" i="1" s="1"/>
  <c r="D819" i="10"/>
  <c r="F819" i="10" s="1"/>
  <c r="J819" i="1" s="1"/>
  <c r="D820" i="10"/>
  <c r="F820" i="10" s="1"/>
  <c r="J820" i="1" s="1"/>
  <c r="D821" i="10"/>
  <c r="F821" i="10" s="1"/>
  <c r="J821" i="1" s="1"/>
  <c r="D822" i="10"/>
  <c r="F822" i="10" s="1"/>
  <c r="J822" i="1" s="1"/>
  <c r="D823" i="10"/>
  <c r="F823" i="10" s="1"/>
  <c r="J823" i="1" s="1"/>
  <c r="D824" i="10"/>
  <c r="F824" i="10" s="1"/>
  <c r="J824" i="1" s="1"/>
  <c r="D825" i="10"/>
  <c r="F825" i="10" s="1"/>
  <c r="J825" i="1" s="1"/>
  <c r="D826" i="10"/>
  <c r="F826" i="10" s="1"/>
  <c r="J826" i="1" s="1"/>
  <c r="D827" i="10"/>
  <c r="F827" i="10" s="1"/>
  <c r="J827" i="1" s="1"/>
  <c r="D828" i="10"/>
  <c r="F828" i="10" s="1"/>
  <c r="J828" i="1" s="1"/>
  <c r="D829" i="10"/>
  <c r="F829" i="10" s="1"/>
  <c r="J829" i="1" s="1"/>
  <c r="D830" i="10"/>
  <c r="F830" i="10" s="1"/>
  <c r="J830" i="1" s="1"/>
  <c r="D831" i="10"/>
  <c r="F831" i="10" s="1"/>
  <c r="J831" i="1" s="1"/>
  <c r="D832" i="10"/>
  <c r="F832" i="10" s="1"/>
  <c r="J832" i="1" s="1"/>
  <c r="D833" i="10"/>
  <c r="F833" i="10" s="1"/>
  <c r="J833" i="1" s="1"/>
  <c r="D834" i="10"/>
  <c r="F834" i="10" s="1"/>
  <c r="J834" i="1" s="1"/>
  <c r="D835" i="10"/>
  <c r="F835" i="10" s="1"/>
  <c r="J835" i="1" s="1"/>
  <c r="D836" i="10"/>
  <c r="F836" i="10" s="1"/>
  <c r="J836" i="1" s="1"/>
  <c r="D837" i="10"/>
  <c r="F837" i="10" s="1"/>
  <c r="J837" i="1" s="1"/>
  <c r="D838" i="10"/>
  <c r="F838" i="10" s="1"/>
  <c r="J838" i="1" s="1"/>
  <c r="D839" i="10"/>
  <c r="F839" i="10" s="1"/>
  <c r="J839" i="1" s="1"/>
  <c r="D840" i="10"/>
  <c r="F840" i="10" s="1"/>
  <c r="J840" i="1" s="1"/>
  <c r="D841" i="10"/>
  <c r="F841" i="10" s="1"/>
  <c r="J841" i="1" s="1"/>
  <c r="D842" i="10"/>
  <c r="F842" i="10" s="1"/>
  <c r="J842" i="1" s="1"/>
  <c r="D843" i="10"/>
  <c r="F843" i="10" s="1"/>
  <c r="J843" i="1" s="1"/>
  <c r="D844" i="10"/>
  <c r="F844" i="10" s="1"/>
  <c r="J844" i="1" s="1"/>
  <c r="D845" i="10"/>
  <c r="F845" i="10" s="1"/>
  <c r="J845" i="1" s="1"/>
  <c r="D846" i="10"/>
  <c r="F846" i="10" s="1"/>
  <c r="J846" i="1" s="1"/>
  <c r="D847" i="10"/>
  <c r="F847" i="10" s="1"/>
  <c r="J847" i="1" s="1"/>
  <c r="D848" i="10"/>
  <c r="F848" i="10" s="1"/>
  <c r="J848" i="1" s="1"/>
  <c r="D849" i="10"/>
  <c r="F849" i="10" s="1"/>
  <c r="J849" i="1" s="1"/>
  <c r="D850" i="10"/>
  <c r="F850" i="10" s="1"/>
  <c r="J850" i="1" s="1"/>
  <c r="D851" i="10"/>
  <c r="F851" i="10" s="1"/>
  <c r="J851" i="1" s="1"/>
  <c r="D852" i="10"/>
  <c r="F852" i="10" s="1"/>
  <c r="J852" i="1" s="1"/>
  <c r="D853" i="10"/>
  <c r="F853" i="10" s="1"/>
  <c r="J853" i="1" s="1"/>
  <c r="D854" i="10"/>
  <c r="F854" i="10" s="1"/>
  <c r="J854" i="1" s="1"/>
  <c r="D855" i="10"/>
  <c r="F855" i="10" s="1"/>
  <c r="J855" i="1" s="1"/>
  <c r="D856" i="10"/>
  <c r="F856" i="10" s="1"/>
  <c r="J856" i="1" s="1"/>
  <c r="D857" i="10"/>
  <c r="F857" i="10" s="1"/>
  <c r="J857" i="1" s="1"/>
  <c r="D858" i="10"/>
  <c r="F858" i="10" s="1"/>
  <c r="J858" i="1" s="1"/>
  <c r="D859" i="10"/>
  <c r="F859" i="10" s="1"/>
  <c r="J859" i="1" s="1"/>
  <c r="D860" i="10"/>
  <c r="F860" i="10" s="1"/>
  <c r="J860" i="1" s="1"/>
  <c r="D861" i="10"/>
  <c r="F861" i="10" s="1"/>
  <c r="J861" i="1" s="1"/>
  <c r="D862" i="10"/>
  <c r="F862" i="10" s="1"/>
  <c r="J862" i="1" s="1"/>
  <c r="D863" i="10"/>
  <c r="F863" i="10" s="1"/>
  <c r="J863" i="1" s="1"/>
  <c r="D864" i="10"/>
  <c r="F864" i="10" s="1"/>
  <c r="J864" i="1" s="1"/>
  <c r="D865" i="10"/>
  <c r="F865" i="10" s="1"/>
  <c r="J865" i="1" s="1"/>
  <c r="D866" i="10"/>
  <c r="F866" i="10" s="1"/>
  <c r="J866" i="1" s="1"/>
  <c r="D867" i="10"/>
  <c r="F867" i="10" s="1"/>
  <c r="J867" i="1" s="1"/>
  <c r="D868" i="10"/>
  <c r="F868" i="10" s="1"/>
  <c r="J868" i="1" s="1"/>
  <c r="D869" i="10"/>
  <c r="F869" i="10" s="1"/>
  <c r="J869" i="1" s="1"/>
  <c r="D870" i="10"/>
  <c r="F870" i="10" s="1"/>
  <c r="J870" i="1" s="1"/>
  <c r="D871" i="10"/>
  <c r="F871" i="10" s="1"/>
  <c r="J871" i="1" s="1"/>
  <c r="D872" i="10"/>
  <c r="F872" i="10" s="1"/>
  <c r="J872" i="1" s="1"/>
  <c r="D873" i="10"/>
  <c r="F873" i="10" s="1"/>
  <c r="J873" i="1" s="1"/>
  <c r="D874" i="10"/>
  <c r="F874" i="10" s="1"/>
  <c r="J874" i="1" s="1"/>
  <c r="D875" i="10"/>
  <c r="F875" i="10" s="1"/>
  <c r="J875" i="1" s="1"/>
  <c r="D876" i="10"/>
  <c r="F876" i="10" s="1"/>
  <c r="J876" i="1" s="1"/>
  <c r="D877" i="10"/>
  <c r="F877" i="10" s="1"/>
  <c r="J877" i="1" s="1"/>
  <c r="D878" i="10"/>
  <c r="F878" i="10" s="1"/>
  <c r="J878" i="1" s="1"/>
  <c r="D879" i="10"/>
  <c r="F879" i="10" s="1"/>
  <c r="J879" i="1" s="1"/>
  <c r="D880" i="10"/>
  <c r="F880" i="10" s="1"/>
  <c r="J880" i="1" s="1"/>
  <c r="D881" i="10"/>
  <c r="F881" i="10" s="1"/>
  <c r="J881" i="1" s="1"/>
  <c r="D882" i="10"/>
  <c r="F882" i="10" s="1"/>
  <c r="J882" i="1" s="1"/>
  <c r="D883" i="10"/>
  <c r="F883" i="10" s="1"/>
  <c r="J883" i="1" s="1"/>
  <c r="D884" i="10"/>
  <c r="F884" i="10" s="1"/>
  <c r="J884" i="1" s="1"/>
  <c r="D885" i="10"/>
  <c r="F885" i="10" s="1"/>
  <c r="J885" i="1" s="1"/>
  <c r="D886" i="10"/>
  <c r="F886" i="10" s="1"/>
  <c r="J886" i="1" s="1"/>
  <c r="D887" i="10"/>
  <c r="F887" i="10" s="1"/>
  <c r="J887" i="1" s="1"/>
  <c r="D888" i="10"/>
  <c r="F888" i="10" s="1"/>
  <c r="J888" i="1" s="1"/>
  <c r="D889" i="10"/>
  <c r="F889" i="10" s="1"/>
  <c r="J889" i="1" s="1"/>
  <c r="D890" i="10"/>
  <c r="F890" i="10" s="1"/>
  <c r="J890" i="1" s="1"/>
  <c r="D891" i="10"/>
  <c r="F891" i="10" s="1"/>
  <c r="J891" i="1" s="1"/>
  <c r="D892" i="10"/>
  <c r="F892" i="10" s="1"/>
  <c r="J892" i="1" s="1"/>
  <c r="D893" i="10"/>
  <c r="F893" i="10" s="1"/>
  <c r="J893" i="1" s="1"/>
  <c r="D894" i="10"/>
  <c r="F894" i="10" s="1"/>
  <c r="J894" i="1" s="1"/>
  <c r="D895" i="10"/>
  <c r="F895" i="10" s="1"/>
  <c r="J895" i="1" s="1"/>
  <c r="D896" i="10"/>
  <c r="F896" i="10" s="1"/>
  <c r="J896" i="1" s="1"/>
  <c r="D897" i="10"/>
  <c r="F897" i="10" s="1"/>
  <c r="J897" i="1" s="1"/>
  <c r="D898" i="10"/>
  <c r="F898" i="10" s="1"/>
  <c r="J898" i="1" s="1"/>
  <c r="D899" i="10"/>
  <c r="F899" i="10" s="1"/>
  <c r="J899" i="1" s="1"/>
  <c r="D900" i="10"/>
  <c r="F900" i="10" s="1"/>
  <c r="J900" i="1" s="1"/>
  <c r="D901" i="10"/>
  <c r="F901" i="10" s="1"/>
  <c r="J901" i="1" s="1"/>
  <c r="D902" i="10"/>
  <c r="F902" i="10" s="1"/>
  <c r="J902" i="1" s="1"/>
  <c r="D903" i="10"/>
  <c r="F903" i="10" s="1"/>
  <c r="J903" i="1" s="1"/>
  <c r="D904" i="10"/>
  <c r="F904" i="10" s="1"/>
  <c r="J904" i="1" s="1"/>
  <c r="D905" i="10"/>
  <c r="F905" i="10" s="1"/>
  <c r="J905" i="1" s="1"/>
  <c r="D906" i="10"/>
  <c r="F906" i="10" s="1"/>
  <c r="J906" i="1" s="1"/>
  <c r="D907" i="10"/>
  <c r="F907" i="10" s="1"/>
  <c r="J907" i="1" s="1"/>
  <c r="D908" i="10"/>
  <c r="F908" i="10" s="1"/>
  <c r="J908" i="1" s="1"/>
  <c r="D909" i="10"/>
  <c r="F909" i="10" s="1"/>
  <c r="J909" i="1" s="1"/>
  <c r="D910" i="10"/>
  <c r="F910" i="10" s="1"/>
  <c r="J910" i="1" s="1"/>
  <c r="D911" i="10"/>
  <c r="F911" i="10" s="1"/>
  <c r="J911" i="1" s="1"/>
  <c r="D912" i="10"/>
  <c r="F912" i="10" s="1"/>
  <c r="J912" i="1" s="1"/>
  <c r="D913" i="10"/>
  <c r="F913" i="10" s="1"/>
  <c r="J913" i="1" s="1"/>
  <c r="D914" i="10"/>
  <c r="F914" i="10" s="1"/>
  <c r="J914" i="1" s="1"/>
  <c r="D915" i="10"/>
  <c r="F915" i="10" s="1"/>
  <c r="J915" i="1" s="1"/>
  <c r="D916" i="10"/>
  <c r="F916" i="10" s="1"/>
  <c r="J916" i="1" s="1"/>
  <c r="D917" i="10"/>
  <c r="F917" i="10" s="1"/>
  <c r="J917" i="1" s="1"/>
  <c r="D918" i="10"/>
  <c r="F918" i="10" s="1"/>
  <c r="J918" i="1" s="1"/>
  <c r="D919" i="10"/>
  <c r="F919" i="10" s="1"/>
  <c r="J919" i="1" s="1"/>
  <c r="D920" i="10"/>
  <c r="F920" i="10" s="1"/>
  <c r="J920" i="1" s="1"/>
  <c r="D921" i="10"/>
  <c r="F921" i="10" s="1"/>
  <c r="J921" i="1" s="1"/>
  <c r="D922" i="10"/>
  <c r="F922" i="10" s="1"/>
  <c r="J922" i="1" s="1"/>
  <c r="D923" i="10"/>
  <c r="F923" i="10" s="1"/>
  <c r="J923" i="1" s="1"/>
  <c r="D924" i="10"/>
  <c r="F924" i="10" s="1"/>
  <c r="J924" i="1" s="1"/>
  <c r="D925" i="10"/>
  <c r="F925" i="10" s="1"/>
  <c r="J925" i="1" s="1"/>
  <c r="D926" i="10"/>
  <c r="F926" i="10" s="1"/>
  <c r="J926" i="1" s="1"/>
  <c r="D927" i="10"/>
  <c r="F927" i="10" s="1"/>
  <c r="J927" i="1" s="1"/>
  <c r="D928" i="10"/>
  <c r="F928" i="10" s="1"/>
  <c r="J928" i="1" s="1"/>
  <c r="D929" i="10"/>
  <c r="F929" i="10" s="1"/>
  <c r="J929" i="1" s="1"/>
  <c r="D930" i="10"/>
  <c r="F930" i="10" s="1"/>
  <c r="J930" i="1" s="1"/>
  <c r="D931" i="10"/>
  <c r="F931" i="10" s="1"/>
  <c r="J931" i="1" s="1"/>
  <c r="D932" i="10"/>
  <c r="F932" i="10" s="1"/>
  <c r="J932" i="1" s="1"/>
  <c r="D933" i="10"/>
  <c r="F933" i="10" s="1"/>
  <c r="J933" i="1" s="1"/>
  <c r="D934" i="10"/>
  <c r="F934" i="10" s="1"/>
  <c r="J934" i="1" s="1"/>
  <c r="D935" i="10"/>
  <c r="F935" i="10" s="1"/>
  <c r="J935" i="1" s="1"/>
  <c r="D936" i="10"/>
  <c r="F936" i="10" s="1"/>
  <c r="J936" i="1" s="1"/>
  <c r="D937" i="10"/>
  <c r="F937" i="10" s="1"/>
  <c r="J937" i="1" s="1"/>
  <c r="D2" i="10"/>
  <c r="F2" i="10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2" i="10"/>
  <c r="B2" i="11" l="1"/>
  <c r="I2" i="10" s="1"/>
  <c r="J2" i="1"/>
  <c r="J32" i="1"/>
  <c r="B5" i="11"/>
  <c r="I5" i="10" s="1"/>
  <c r="J28" i="1"/>
  <c r="B4" i="11"/>
  <c r="I4" i="10" s="1"/>
  <c r="J19" i="1"/>
  <c r="B3" i="11"/>
  <c r="I3" i="10" s="1"/>
</calcChain>
</file>

<file path=xl/sharedStrings.xml><?xml version="1.0" encoding="utf-8"?>
<sst xmlns="http://schemas.openxmlformats.org/spreadsheetml/2006/main" count="3927" uniqueCount="202">
  <si>
    <t>30-34</t>
  </si>
  <si>
    <t>M</t>
  </si>
  <si>
    <t>35-39</t>
  </si>
  <si>
    <t>40-44</t>
  </si>
  <si>
    <t>45-49</t>
  </si>
  <si>
    <t>F</t>
  </si>
  <si>
    <t>categoria_de_interesse</t>
  </si>
  <si>
    <t>qte_de_clicks</t>
  </si>
  <si>
    <t>id_do_anuncio</t>
  </si>
  <si>
    <t>descrição_da_categoria</t>
  </si>
  <si>
    <t xml:space="preserve">Business and Industry </t>
  </si>
  <si>
    <t xml:space="preserve">Advertising Agriculture Architecture Aviation Banking </t>
  </si>
  <si>
    <t xml:space="preserve">Investment banking Online banking Retail banking </t>
  </si>
  <si>
    <t xml:space="preserve">Business Construction Design </t>
  </si>
  <si>
    <t xml:space="preserve">Fashion design Graphic design Interior design </t>
  </si>
  <si>
    <t xml:space="preserve">Economics Engineering Entrepreneurship Health care Higher education Management Marketing Nursing </t>
  </si>
  <si>
    <t>Online</t>
  </si>
  <si>
    <t xml:space="preserve">Digital marketing </t>
  </si>
  <si>
    <t>Display advertising</t>
  </si>
  <si>
    <t>Email marketing</t>
  </si>
  <si>
    <t>Online advertising</t>
  </si>
  <si>
    <t xml:space="preserve">Search engine optimization Social media </t>
  </si>
  <si>
    <t>Social media marketing Web design</t>
  </si>
  <si>
    <t xml:space="preserve">Web development Web hosting </t>
  </si>
  <si>
    <t xml:space="preserve">Personal finance Creditcards </t>
  </si>
  <si>
    <t xml:space="preserve">Insurance Investment Mortgage loans </t>
  </si>
  <si>
    <t xml:space="preserve">Real estate Retail Sales Science </t>
  </si>
  <si>
    <t xml:space="preserve">Small business </t>
  </si>
  <si>
    <t xml:space="preserve">Entertainment </t>
  </si>
  <si>
    <t>Games</t>
  </si>
  <si>
    <t xml:space="preserve">Action games </t>
  </si>
  <si>
    <t>Board games</t>
  </si>
  <si>
    <t>Browser games</t>
  </si>
  <si>
    <t>Card games</t>
  </si>
  <si>
    <t>Casino games</t>
  </si>
  <si>
    <t xml:space="preserve">First-person shooter games Gambling </t>
  </si>
  <si>
    <t>Massively multiplayer online games</t>
  </si>
  <si>
    <t>Massively multiplayer online role-playing games Online games</t>
  </si>
  <si>
    <t>Online poker</t>
  </si>
  <si>
    <t>Puzzle video games</t>
  </si>
  <si>
    <t>Racing games</t>
  </si>
  <si>
    <t>Role-playing games</t>
  </si>
  <si>
    <t>Shooter games</t>
  </si>
  <si>
    <t>Simulation games</t>
  </si>
  <si>
    <t>Sports games</t>
  </si>
  <si>
    <t>Strategy games</t>
  </si>
  <si>
    <t>Video games</t>
  </si>
  <si>
    <t xml:space="preserve">Word games </t>
  </si>
  <si>
    <t xml:space="preserve">Live events Ballet </t>
  </si>
  <si>
    <t>Bars</t>
  </si>
  <si>
    <t>Concerts Dancehalls Music festivals Nightclubs Parties</t>
  </si>
  <si>
    <t>Plays</t>
  </si>
  <si>
    <t xml:space="preserve">Theatre </t>
  </si>
  <si>
    <t>Movies</t>
  </si>
  <si>
    <t xml:space="preserve">Action movies </t>
  </si>
  <si>
    <t xml:space="preserve">Animated movies Anime movies Bollywood movies Comedy movies Documentary movies Drama movies Fantasy movies Horror movies Musical theatre Science fiction movies </t>
  </si>
  <si>
    <t xml:space="preserve">Thriller movies Music </t>
  </si>
  <si>
    <t xml:space="preserve">Blues music Classical music Country music Dance music Electronic music Gospel music Heavy metal music Hip hop music Jazz music </t>
  </si>
  <si>
    <t>Music videos</t>
  </si>
  <si>
    <t>Pop music</t>
  </si>
  <si>
    <t>Rhythm and blues music Rock music</t>
  </si>
  <si>
    <t xml:space="preserve">Soul music </t>
  </si>
  <si>
    <t xml:space="preserve">Reading Books </t>
  </si>
  <si>
    <t>Comics</t>
  </si>
  <si>
    <t>E-books</t>
  </si>
  <si>
    <t>Fiction books Literature Magazines Manga</t>
  </si>
  <si>
    <t xml:space="preserve">Mystery fiction Newspapers Non-fiction books Romance novels </t>
  </si>
  <si>
    <t>TV</t>
  </si>
  <si>
    <t xml:space="preserve">TV comedies </t>
  </si>
  <si>
    <t xml:space="preserve">TV game shows TV reality shows TV talkshows </t>
  </si>
  <si>
    <t xml:space="preserve">Family and relationships </t>
  </si>
  <si>
    <t xml:space="preserve">Dating Family Fatherhood Friendship Marriage Motherhood Parenting Weddings </t>
  </si>
  <si>
    <t xml:space="preserve">Fitness and wellness </t>
  </si>
  <si>
    <t xml:space="preserve">Bodybuilding </t>
  </si>
  <si>
    <t>Meditation Physical exercise Physical fitness Running</t>
  </si>
  <si>
    <t xml:space="preserve">Weight training Yoga </t>
  </si>
  <si>
    <t xml:space="preserve">Food and drink </t>
  </si>
  <si>
    <t xml:space="preserve">Alcoholic beverages Beer </t>
  </si>
  <si>
    <t xml:space="preserve">Distilled beverage </t>
  </si>
  <si>
    <t xml:space="preserve">Wine Beverages </t>
  </si>
  <si>
    <t>Coffee Energy drinks Juice</t>
  </si>
  <si>
    <t xml:space="preserve">Soft drinks Tea </t>
  </si>
  <si>
    <t xml:space="preserve">Cooking Baking </t>
  </si>
  <si>
    <t xml:space="preserve">Recipes Cuisine </t>
  </si>
  <si>
    <t>Chinese cuisine French cuisine German cuisine</t>
  </si>
  <si>
    <t>Greek cuisine</t>
  </si>
  <si>
    <t>Indian cuisine</t>
  </si>
  <si>
    <t>Italian cuisine Japanese cuisine Korean cuisine</t>
  </si>
  <si>
    <t xml:space="preserve">Latin American cuisine Mexican cuisine Middle Eastern cuisine Spanish cuisine </t>
  </si>
  <si>
    <t xml:space="preserve">Thai cuisine </t>
  </si>
  <si>
    <t xml:space="preserve">Vietnamese cuisine Food </t>
  </si>
  <si>
    <t>Barbecue Chocolate Desserts</t>
  </si>
  <si>
    <t xml:space="preserve">Fast food Organic food Pizza Seafood Veganism Vegetarianism </t>
  </si>
  <si>
    <t xml:space="preserve">Restaurants Coffeehouses </t>
  </si>
  <si>
    <t>Diners</t>
  </si>
  <si>
    <t xml:space="preserve">Fast casual restaurants Fast food restaurants </t>
  </si>
  <si>
    <t xml:space="preserve">Hobbies and activities </t>
  </si>
  <si>
    <t xml:space="preserve">Arts and music Acting Crafts </t>
  </si>
  <si>
    <t>Dance Drawing Drums</t>
  </si>
  <si>
    <t>Fine art</t>
  </si>
  <si>
    <t>Guitar</t>
  </si>
  <si>
    <t xml:space="preserve">Painting Performing arts Photography Sculpture Singing </t>
  </si>
  <si>
    <t xml:space="preserve">Writing Current events </t>
  </si>
  <si>
    <t>Home and garden</t>
  </si>
  <si>
    <t xml:space="preserve">Do it yourself (DIY) </t>
  </si>
  <si>
    <t>Furniture Gardening</t>
  </si>
  <si>
    <t xml:space="preserve">Home Appliances Home improvement </t>
  </si>
  <si>
    <t>Pets</t>
  </si>
  <si>
    <t xml:space="preserve">Birds </t>
  </si>
  <si>
    <t xml:space="preserve">Cats Dogs Fish Horses Pet food Rabbits Reptiles </t>
  </si>
  <si>
    <t xml:space="preserve">Politics and social issues Charity and causes </t>
  </si>
  <si>
    <t>Community issues Environmentalism Law</t>
  </si>
  <si>
    <t xml:space="preserve">Military </t>
  </si>
  <si>
    <t xml:space="preserve">Politics Religion Sustainability </t>
  </si>
  <si>
    <t xml:space="preserve">Veterans </t>
  </si>
  <si>
    <t xml:space="preserve">Volunteering Travel </t>
  </si>
  <si>
    <t>Adventure travel Air travel Beaches</t>
  </si>
  <si>
    <t xml:space="preserve">Car rentals Cruises Ecotourism Hotels </t>
  </si>
  <si>
    <t xml:space="preserve">Lakes Mountains Nature Theme parks Tourism Vacations </t>
  </si>
  <si>
    <t xml:space="preserve">Vehicles Automobiles </t>
  </si>
  <si>
    <t>Boats</t>
  </si>
  <si>
    <t>Electric vehicle Hybrids Minivans Motorcycles RVs</t>
  </si>
  <si>
    <t xml:space="preserve">SUVs Scooters Trucks </t>
  </si>
  <si>
    <t xml:space="preserve">Shopping and fashion </t>
  </si>
  <si>
    <t>Beauty</t>
  </si>
  <si>
    <t xml:space="preserve">Beauty salons </t>
  </si>
  <si>
    <t xml:space="preserve">Cosmetics Fragrances Hair products Spas </t>
  </si>
  <si>
    <t xml:space="preserve">Tattoos Clothing </t>
  </si>
  <si>
    <t>Children’s clothing Men’s clothing Shoes</t>
  </si>
  <si>
    <t xml:space="preserve">Women’s clothing </t>
  </si>
  <si>
    <t xml:space="preserve">Fashion accessories Dresses </t>
  </si>
  <si>
    <t xml:space="preserve">Handbags Jewelry Sunglasses </t>
  </si>
  <si>
    <t xml:space="preserve">Shopping Boutiques </t>
  </si>
  <si>
    <t xml:space="preserve">Coupons Discount stores Luxury goods Online shopping Shopping malls </t>
  </si>
  <si>
    <t xml:space="preserve">Toys </t>
  </si>
  <si>
    <t xml:space="preserve">Sports and outdoors </t>
  </si>
  <si>
    <t xml:space="preserve">Outdoor recreation Boating </t>
  </si>
  <si>
    <t xml:space="preserve">Camping Fishing Horseback riding Hunting Mountain biking Surfing </t>
  </si>
  <si>
    <t>Sports</t>
  </si>
  <si>
    <t xml:space="preserve">American football </t>
  </si>
  <si>
    <t xml:space="preserve">Technology </t>
  </si>
  <si>
    <t>Association football (Soccer) Auto racing</t>
  </si>
  <si>
    <t>Baseball</t>
  </si>
  <si>
    <t xml:space="preserve">Basketball </t>
  </si>
  <si>
    <t>College football Golf</t>
  </si>
  <si>
    <t xml:space="preserve">Marathons Skiing Snowboarding Swimming Tennis Thriathlons Volleyball </t>
  </si>
  <si>
    <t>Computers</t>
  </si>
  <si>
    <t xml:space="preserve">Computer memory </t>
  </si>
  <si>
    <t xml:space="preserve">Computer monitors Computer processors Computer servers Desktop computers Free software </t>
  </si>
  <si>
    <t>Hard drives Network storage Software</t>
  </si>
  <si>
    <t xml:space="preserve">Tablet computers </t>
  </si>
  <si>
    <t xml:space="preserve">Consumer electronics Audio equipment </t>
  </si>
  <si>
    <t>Camcorders</t>
  </si>
  <si>
    <t>Cameras</t>
  </si>
  <si>
    <t>E-book readers</t>
  </si>
  <si>
    <t>GPS devices</t>
  </si>
  <si>
    <t>Game consoles</t>
  </si>
  <si>
    <t xml:space="preserve">Mobile phones Portable media players Projectors Smartphones Televisions </t>
  </si>
  <si>
    <t>Campanha A</t>
  </si>
  <si>
    <t>Campanha B</t>
  </si>
  <si>
    <t>Campanha C</t>
  </si>
  <si>
    <t>campanha</t>
  </si>
  <si>
    <t>valor_investido_no_anúncio</t>
  </si>
  <si>
    <t>Ad_10</t>
  </si>
  <si>
    <t>Ad_11</t>
  </si>
  <si>
    <t>Ad_12</t>
  </si>
  <si>
    <t>Ad_13</t>
  </si>
  <si>
    <t>Ad_14</t>
  </si>
  <si>
    <t>Ad_15</t>
  </si>
  <si>
    <t>Ad_16</t>
  </si>
  <si>
    <t>Ad_17</t>
  </si>
  <si>
    <t>Ad_18</t>
  </si>
  <si>
    <t>Ad_19</t>
  </si>
  <si>
    <t>Ad_20</t>
  </si>
  <si>
    <t>Ad_21</t>
  </si>
  <si>
    <t>Ad_22</t>
  </si>
  <si>
    <t>Ad_23</t>
  </si>
  <si>
    <t>Ad_24</t>
  </si>
  <si>
    <t>Ad_01</t>
  </si>
  <si>
    <t>Ad_02</t>
  </si>
  <si>
    <t>Ad_03</t>
  </si>
  <si>
    <t>Ad_04</t>
  </si>
  <si>
    <t>Ad_05</t>
  </si>
  <si>
    <t>Ad_06</t>
  </si>
  <si>
    <t>Ad_07</t>
  </si>
  <si>
    <t>Ad_08</t>
  </si>
  <si>
    <t>Ad_09</t>
  </si>
  <si>
    <t>genero</t>
  </si>
  <si>
    <t>faixa_etaria</t>
  </si>
  <si>
    <t>data</t>
  </si>
  <si>
    <t>qte_de_vendas</t>
  </si>
  <si>
    <t>qte_de_exibições_do_anuncio</t>
  </si>
  <si>
    <t>CTR</t>
  </si>
  <si>
    <t>CPC</t>
  </si>
  <si>
    <t>Receita</t>
  </si>
  <si>
    <t>CAC</t>
  </si>
  <si>
    <t>ROI</t>
  </si>
  <si>
    <t>ID_Anuncio</t>
  </si>
  <si>
    <t>Idade</t>
  </si>
  <si>
    <t>ROI Médio</t>
  </si>
  <si>
    <t>IDADE</t>
  </si>
  <si>
    <t>Media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</si>
</sst>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MT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49" fontId="18" fillId="33" borderId="0" xfId="0" applyNumberFormat="1" applyFont="1" applyFill="1" applyAlignment="1">
      <alignment horizontal="center" vertical="center" wrapText="1"/>
    </xf>
    <xf numFmtId="0" fontId="19" fillId="0" borderId="0" xfId="0" applyFont="1"/>
    <xf numFmtId="0" fontId="20" fillId="0" borderId="0" xfId="0" applyFont="1"/>
    <xf numFmtId="0" fontId="1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10" xfId="0" applyBorder="1"/>
    <xf numFmtId="2" fontId="0" fillId="0" borderId="10" xfId="0" applyNumberFormat="1" applyBorder="1"/>
    <xf numFmtId="0" fontId="16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/>
    </xf>
    <xf numFmtId="164" fontId="16" fillId="33" borderId="10" xfId="0" applyNumberFormat="1" applyFont="1" applyFill="1" applyBorder="1" applyAlignment="1">
      <alignment horizontal="center"/>
    </xf>
    <xf numFmtId="0" fontId="16" fillId="33" borderId="10" xfId="0" applyFont="1" applyFill="1" applyBorder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7"/>
  <sheetViews>
    <sheetView showGridLines="0" zoomScale="70" zoomScaleNormal="70" workbookViewId="0">
      <selection activeCell="L7" sqref="L7"/>
    </sheetView>
  </sheetViews>
  <sheetFormatPr defaultColWidth="11" defaultRowHeight="15.75"/>
  <cols>
    <col min="1" max="2" width="19.5" style="6" customWidth="1"/>
    <col min="3" max="3" width="18" style="6" bestFit="1" customWidth="1"/>
    <col min="4" max="4" width="16.375" style="6" customWidth="1"/>
    <col min="5" max="5" width="11.125" style="6" bestFit="1" customWidth="1"/>
    <col min="6" max="6" width="25.5" style="6" customWidth="1"/>
    <col min="7" max="7" width="21.625" style="6" bestFit="1" customWidth="1"/>
    <col min="8" max="8" width="23" style="6" customWidth="1"/>
    <col min="9" max="9" width="21" style="6" customWidth="1"/>
    <col min="10" max="10" width="11" style="6"/>
  </cols>
  <sheetData>
    <row r="1" spans="1:15" ht="56.1" customHeight="1">
      <c r="A1" s="1" t="s">
        <v>8</v>
      </c>
      <c r="B1" s="1" t="s">
        <v>189</v>
      </c>
      <c r="C1" s="1" t="s">
        <v>161</v>
      </c>
      <c r="D1" s="1" t="s">
        <v>188</v>
      </c>
      <c r="E1" s="1" t="s">
        <v>187</v>
      </c>
      <c r="F1" s="1" t="s">
        <v>191</v>
      </c>
      <c r="G1" s="1" t="s">
        <v>7</v>
      </c>
      <c r="H1" s="2" t="s">
        <v>162</v>
      </c>
      <c r="I1" s="1" t="s">
        <v>190</v>
      </c>
      <c r="J1" s="1" t="s">
        <v>196</v>
      </c>
      <c r="K1" s="5"/>
    </row>
    <row r="2" spans="1:15">
      <c r="A2" s="6" t="s">
        <v>178</v>
      </c>
      <c r="B2" s="7">
        <v>44562</v>
      </c>
      <c r="C2" s="6" t="s">
        <v>158</v>
      </c>
      <c r="D2" s="6" t="s">
        <v>0</v>
      </c>
      <c r="E2" s="6" t="s">
        <v>5</v>
      </c>
      <c r="F2" s="6">
        <v>57665</v>
      </c>
      <c r="G2" s="6">
        <v>700</v>
      </c>
      <c r="H2" s="12">
        <v>18069.999690000001</v>
      </c>
      <c r="I2" s="6">
        <v>100</v>
      </c>
      <c r="J2" s="11">
        <f>Análises!F2</f>
        <v>0.66021032178556716</v>
      </c>
    </row>
    <row r="3" spans="1:15">
      <c r="A3" s="6" t="s">
        <v>178</v>
      </c>
      <c r="B3" s="7">
        <v>44563</v>
      </c>
      <c r="C3" s="6" t="s">
        <v>158</v>
      </c>
      <c r="D3" s="6" t="s">
        <v>0</v>
      </c>
      <c r="E3" s="6" t="s">
        <v>5</v>
      </c>
      <c r="F3" s="6">
        <v>3091</v>
      </c>
      <c r="G3" s="6">
        <v>50</v>
      </c>
      <c r="H3" s="12">
        <v>1610.000014</v>
      </c>
      <c r="I3" s="6">
        <v>100</v>
      </c>
      <c r="J3" s="11">
        <f>Análises!F3</f>
        <v>17.633540210640021</v>
      </c>
    </row>
    <row r="4" spans="1:15">
      <c r="A4" s="6" t="s">
        <v>178</v>
      </c>
      <c r="B4" s="7">
        <v>44564</v>
      </c>
      <c r="C4" s="6" t="s">
        <v>158</v>
      </c>
      <c r="D4" s="6" t="s">
        <v>0</v>
      </c>
      <c r="E4" s="6" t="s">
        <v>5</v>
      </c>
      <c r="F4" s="6">
        <v>5014</v>
      </c>
      <c r="G4" s="6">
        <v>50</v>
      </c>
      <c r="H4" s="12">
        <v>1190.000057</v>
      </c>
      <c r="I4" s="6">
        <v>50</v>
      </c>
      <c r="J4" s="11">
        <f>Análises!F4</f>
        <v>11.605041413035833</v>
      </c>
      <c r="N4" s="5"/>
      <c r="O4" s="5"/>
    </row>
    <row r="5" spans="1:15">
      <c r="A5" s="6" t="s">
        <v>178</v>
      </c>
      <c r="B5" s="7">
        <v>44565</v>
      </c>
      <c r="C5" s="6" t="s">
        <v>158</v>
      </c>
      <c r="D5" s="6" t="s">
        <v>0</v>
      </c>
      <c r="E5" s="6" t="s">
        <v>5</v>
      </c>
      <c r="F5" s="6">
        <v>38726</v>
      </c>
      <c r="G5" s="6">
        <v>350</v>
      </c>
      <c r="H5" s="12">
        <v>9220.0002669999994</v>
      </c>
      <c r="I5" s="6">
        <v>50</v>
      </c>
      <c r="J5" s="11">
        <f>Análises!F5</f>
        <v>0.62689800060935297</v>
      </c>
      <c r="N5" s="5"/>
      <c r="O5" s="5"/>
    </row>
    <row r="6" spans="1:15">
      <c r="A6" s="6" t="s">
        <v>178</v>
      </c>
      <c r="B6" s="7">
        <v>44566</v>
      </c>
      <c r="C6" s="6" t="s">
        <v>158</v>
      </c>
      <c r="D6" s="6" t="s">
        <v>0</v>
      </c>
      <c r="E6" s="6" t="s">
        <v>5</v>
      </c>
      <c r="F6" s="6">
        <v>5369</v>
      </c>
      <c r="G6" s="6">
        <v>50</v>
      </c>
      <c r="H6" s="12">
        <v>1509.99999</v>
      </c>
      <c r="I6" s="6">
        <v>50</v>
      </c>
      <c r="J6" s="11">
        <f>Análises!F6</f>
        <v>8.9337749002236748</v>
      </c>
      <c r="N6" s="5"/>
      <c r="O6" s="5"/>
    </row>
    <row r="7" spans="1:15">
      <c r="A7" s="6" t="s">
        <v>178</v>
      </c>
      <c r="B7" s="7">
        <v>44567</v>
      </c>
      <c r="C7" s="6" t="s">
        <v>158</v>
      </c>
      <c r="D7" s="6" t="s">
        <v>0</v>
      </c>
      <c r="E7" s="6" t="s">
        <v>5</v>
      </c>
      <c r="F7" s="6">
        <v>22221</v>
      </c>
      <c r="G7" s="6">
        <v>350</v>
      </c>
      <c r="H7" s="12">
        <v>9430.000066999999</v>
      </c>
      <c r="I7" s="6">
        <v>100</v>
      </c>
      <c r="J7" s="11">
        <f>Análises!F7</f>
        <v>2.1813361385843564</v>
      </c>
      <c r="N7" s="5"/>
      <c r="O7" s="5"/>
    </row>
    <row r="8" spans="1:15">
      <c r="A8" s="6" t="s">
        <v>178</v>
      </c>
      <c r="B8" s="7">
        <v>44568</v>
      </c>
      <c r="C8" s="6" t="s">
        <v>158</v>
      </c>
      <c r="D8" s="6" t="s">
        <v>0</v>
      </c>
      <c r="E8" s="6" t="s">
        <v>5</v>
      </c>
      <c r="F8" s="6">
        <v>13019</v>
      </c>
      <c r="G8" s="6">
        <v>250</v>
      </c>
      <c r="H8" s="12">
        <v>6960.0000380000001</v>
      </c>
      <c r="I8" s="6">
        <v>50</v>
      </c>
      <c r="J8" s="11">
        <f>Análises!F8</f>
        <v>1.1551724020263576</v>
      </c>
      <c r="N8" s="5"/>
      <c r="O8" s="5"/>
    </row>
    <row r="9" spans="1:15">
      <c r="A9" s="6" t="s">
        <v>179</v>
      </c>
      <c r="B9" s="7">
        <v>44569</v>
      </c>
      <c r="C9" s="6" t="s">
        <v>158</v>
      </c>
      <c r="D9" s="6" t="s">
        <v>0</v>
      </c>
      <c r="E9" s="6" t="s">
        <v>1</v>
      </c>
      <c r="F9" s="6">
        <v>7350</v>
      </c>
      <c r="G9" s="6">
        <v>50</v>
      </c>
      <c r="H9" s="12">
        <v>1429.9999480000001</v>
      </c>
      <c r="I9" s="6">
        <v>150</v>
      </c>
      <c r="J9" s="11">
        <f>Análises!F9</f>
        <v>30.468532612841745</v>
      </c>
      <c r="N9" s="5"/>
      <c r="O9" s="5"/>
    </row>
    <row r="10" spans="1:15">
      <c r="A10" s="6" t="s">
        <v>179</v>
      </c>
      <c r="B10" s="7">
        <v>44570</v>
      </c>
      <c r="C10" s="6" t="s">
        <v>158</v>
      </c>
      <c r="D10" s="6" t="s">
        <v>0</v>
      </c>
      <c r="E10" s="6" t="s">
        <v>1</v>
      </c>
      <c r="F10" s="6">
        <v>17861</v>
      </c>
      <c r="G10" s="6">
        <v>100</v>
      </c>
      <c r="H10" s="12">
        <v>1820.0000230000001</v>
      </c>
      <c r="I10" s="6">
        <v>100</v>
      </c>
      <c r="J10" s="11">
        <f>Análises!F10</f>
        <v>15.483516275208309</v>
      </c>
      <c r="N10" s="5"/>
      <c r="O10" s="5"/>
    </row>
    <row r="11" spans="1:15">
      <c r="A11" s="6" t="s">
        <v>179</v>
      </c>
      <c r="B11" s="7">
        <v>44571</v>
      </c>
      <c r="C11" s="6" t="s">
        <v>158</v>
      </c>
      <c r="D11" s="6" t="s">
        <v>0</v>
      </c>
      <c r="E11" s="6" t="s">
        <v>1</v>
      </c>
      <c r="F11" s="6">
        <v>4259</v>
      </c>
      <c r="G11" s="6">
        <v>50</v>
      </c>
      <c r="H11" s="12">
        <v>1250</v>
      </c>
      <c r="I11" s="6">
        <v>50</v>
      </c>
      <c r="J11" s="11">
        <f>Análises!F11</f>
        <v>11</v>
      </c>
      <c r="N11" s="5"/>
      <c r="O11" s="5"/>
    </row>
    <row r="12" spans="1:15">
      <c r="A12" s="6" t="s">
        <v>179</v>
      </c>
      <c r="B12" s="7">
        <v>44572</v>
      </c>
      <c r="C12" s="6" t="s">
        <v>158</v>
      </c>
      <c r="D12" s="6" t="s">
        <v>0</v>
      </c>
      <c r="E12" s="6" t="s">
        <v>1</v>
      </c>
      <c r="F12" s="6">
        <v>4133</v>
      </c>
      <c r="G12" s="6">
        <v>50</v>
      </c>
      <c r="H12" s="12">
        <v>1289.9999620000001</v>
      </c>
      <c r="I12" s="6">
        <v>100</v>
      </c>
      <c r="J12" s="11">
        <f>Análises!F12</f>
        <v>22.255814638543374</v>
      </c>
      <c r="N12" s="5"/>
      <c r="O12" s="5"/>
    </row>
    <row r="13" spans="1:15">
      <c r="A13" s="6" t="s">
        <v>179</v>
      </c>
      <c r="B13" s="7">
        <v>44573</v>
      </c>
      <c r="C13" s="6" t="s">
        <v>158</v>
      </c>
      <c r="D13" s="6" t="s">
        <v>0</v>
      </c>
      <c r="E13" s="6" t="s">
        <v>1</v>
      </c>
      <c r="F13" s="6">
        <v>15615</v>
      </c>
      <c r="G13" s="6">
        <v>150</v>
      </c>
      <c r="H13" s="12">
        <v>4769.9999809999999</v>
      </c>
      <c r="I13" s="6">
        <v>50</v>
      </c>
      <c r="J13" s="11">
        <f>Análises!F13</f>
        <v>2.1446541005761901</v>
      </c>
      <c r="N13" s="5"/>
      <c r="O13" s="5"/>
    </row>
    <row r="14" spans="1:15">
      <c r="A14" s="6" t="s">
        <v>179</v>
      </c>
      <c r="B14" s="7">
        <v>44574</v>
      </c>
      <c r="C14" s="6" t="s">
        <v>158</v>
      </c>
      <c r="D14" s="6" t="s">
        <v>0</v>
      </c>
      <c r="E14" s="6" t="s">
        <v>1</v>
      </c>
      <c r="F14" s="6">
        <v>10951</v>
      </c>
      <c r="G14" s="6">
        <v>50</v>
      </c>
      <c r="H14" s="12">
        <v>1269.9999809999999</v>
      </c>
      <c r="I14" s="6">
        <v>100</v>
      </c>
      <c r="J14" s="11">
        <f>Análises!F14</f>
        <v>22.6220475974952</v>
      </c>
      <c r="N14" s="5"/>
      <c r="O14" s="5"/>
    </row>
    <row r="15" spans="1:15">
      <c r="A15" s="6" t="s">
        <v>179</v>
      </c>
      <c r="B15" s="7">
        <v>44575</v>
      </c>
      <c r="C15" s="6" t="s">
        <v>158</v>
      </c>
      <c r="D15" s="6" t="s">
        <v>0</v>
      </c>
      <c r="E15" s="6" t="s">
        <v>1</v>
      </c>
      <c r="F15" s="6">
        <v>2355</v>
      </c>
      <c r="G15" s="6">
        <v>50</v>
      </c>
      <c r="H15" s="12">
        <v>1500</v>
      </c>
      <c r="I15" s="6">
        <v>50</v>
      </c>
      <c r="J15" s="11">
        <f>Análises!F15</f>
        <v>9</v>
      </c>
      <c r="N15" s="5"/>
      <c r="O15" s="5"/>
    </row>
    <row r="16" spans="1:15">
      <c r="A16" s="6" t="s">
        <v>179</v>
      </c>
      <c r="B16" s="7">
        <v>44576</v>
      </c>
      <c r="C16" s="6" t="s">
        <v>158</v>
      </c>
      <c r="D16" s="6" t="s">
        <v>0</v>
      </c>
      <c r="E16" s="6" t="s">
        <v>1</v>
      </c>
      <c r="F16" s="6">
        <v>9502</v>
      </c>
      <c r="G16" s="6">
        <v>150</v>
      </c>
      <c r="H16" s="12">
        <v>3159.9999670000002</v>
      </c>
      <c r="I16" s="6">
        <v>50</v>
      </c>
      <c r="J16" s="11">
        <f>Análises!F16</f>
        <v>3.7468354926093577</v>
      </c>
      <c r="N16" s="5"/>
      <c r="O16" s="5"/>
    </row>
    <row r="17" spans="1:15">
      <c r="A17" s="6" t="s">
        <v>179</v>
      </c>
      <c r="B17" s="7">
        <v>44577</v>
      </c>
      <c r="C17" s="6" t="s">
        <v>158</v>
      </c>
      <c r="D17" s="6" t="s">
        <v>0</v>
      </c>
      <c r="E17" s="6" t="s">
        <v>1</v>
      </c>
      <c r="F17" s="6">
        <v>14669</v>
      </c>
      <c r="G17" s="6">
        <v>350</v>
      </c>
      <c r="H17" s="12">
        <v>10280.00021</v>
      </c>
      <c r="I17" s="6">
        <v>100</v>
      </c>
      <c r="J17" s="11">
        <f>Análises!F17</f>
        <v>1.9182878781283605</v>
      </c>
      <c r="N17" s="5"/>
      <c r="O17" s="5"/>
    </row>
    <row r="18" spans="1:15">
      <c r="A18" s="6" t="s">
        <v>179</v>
      </c>
      <c r="B18" s="7">
        <v>44578</v>
      </c>
      <c r="C18" s="6" t="s">
        <v>158</v>
      </c>
      <c r="D18" s="6" t="s">
        <v>0</v>
      </c>
      <c r="E18" s="6" t="s">
        <v>1</v>
      </c>
      <c r="F18" s="6">
        <v>2305</v>
      </c>
      <c r="G18" s="6">
        <v>50</v>
      </c>
      <c r="H18" s="12">
        <v>569.99999300000002</v>
      </c>
      <c r="I18" s="6">
        <v>50</v>
      </c>
      <c r="J18" s="11">
        <f>Análises!F18</f>
        <v>25.315789796860578</v>
      </c>
      <c r="N18" s="5"/>
      <c r="O18" s="5"/>
    </row>
    <row r="19" spans="1:15">
      <c r="A19" s="6" t="s">
        <v>180</v>
      </c>
      <c r="B19" s="7">
        <v>44579</v>
      </c>
      <c r="C19" s="6" t="s">
        <v>158</v>
      </c>
      <c r="D19" s="6" t="s">
        <v>2</v>
      </c>
      <c r="E19" s="6" t="s">
        <v>5</v>
      </c>
      <c r="F19" s="6">
        <v>2508</v>
      </c>
      <c r="G19" s="6">
        <v>50</v>
      </c>
      <c r="H19" s="12">
        <v>1220.000029</v>
      </c>
      <c r="I19" s="6">
        <v>50</v>
      </c>
      <c r="J19" s="11">
        <f>Análises!F19</f>
        <v>11.295081674952975</v>
      </c>
      <c r="N19" s="5"/>
      <c r="O19" s="5"/>
    </row>
    <row r="20" spans="1:15">
      <c r="A20" s="6" t="s">
        <v>180</v>
      </c>
      <c r="B20" s="7">
        <v>44580</v>
      </c>
      <c r="C20" s="6" t="s">
        <v>158</v>
      </c>
      <c r="D20" s="6" t="s">
        <v>2</v>
      </c>
      <c r="E20" s="6" t="s">
        <v>5</v>
      </c>
      <c r="F20" s="6">
        <v>5864</v>
      </c>
      <c r="G20" s="6">
        <v>100</v>
      </c>
      <c r="H20" s="12">
        <v>2799.9999519999997</v>
      </c>
      <c r="I20" s="6">
        <v>100</v>
      </c>
      <c r="J20" s="11">
        <f>Análises!F20</f>
        <v>9.7142858979591882</v>
      </c>
      <c r="N20" s="5"/>
      <c r="O20" s="5"/>
    </row>
    <row r="21" spans="1:15">
      <c r="A21" s="6" t="s">
        <v>180</v>
      </c>
      <c r="B21" s="7">
        <v>44581</v>
      </c>
      <c r="C21" s="6" t="s">
        <v>158</v>
      </c>
      <c r="D21" s="6" t="s">
        <v>2</v>
      </c>
      <c r="E21" s="6" t="s">
        <v>5</v>
      </c>
      <c r="F21" s="6">
        <v>2783</v>
      </c>
      <c r="G21" s="6">
        <v>50</v>
      </c>
      <c r="H21" s="12">
        <v>1600.0000240000002</v>
      </c>
      <c r="I21" s="6">
        <v>50</v>
      </c>
      <c r="J21" s="11">
        <f>Análises!F21</f>
        <v>8.3749998593750004</v>
      </c>
      <c r="N21" s="5"/>
      <c r="O21" s="5"/>
    </row>
    <row r="22" spans="1:15">
      <c r="A22" s="6" t="s">
        <v>181</v>
      </c>
      <c r="B22" s="7">
        <v>44582</v>
      </c>
      <c r="C22" s="6" t="s">
        <v>158</v>
      </c>
      <c r="D22" s="6" t="s">
        <v>2</v>
      </c>
      <c r="E22" s="6" t="s">
        <v>1</v>
      </c>
      <c r="F22" s="6">
        <v>4627</v>
      </c>
      <c r="G22" s="6">
        <v>50</v>
      </c>
      <c r="H22" s="12">
        <v>1690.000057</v>
      </c>
      <c r="I22" s="6">
        <v>50</v>
      </c>
      <c r="J22" s="11">
        <f>Análises!F22</f>
        <v>7.8757393456111586</v>
      </c>
      <c r="N22" s="5"/>
      <c r="O22" s="5"/>
    </row>
    <row r="23" spans="1:15">
      <c r="A23" s="6" t="s">
        <v>181</v>
      </c>
      <c r="B23" s="7">
        <v>44583</v>
      </c>
      <c r="C23" s="6" t="s">
        <v>158</v>
      </c>
      <c r="D23" s="6" t="s">
        <v>2</v>
      </c>
      <c r="E23" s="6" t="s">
        <v>1</v>
      </c>
      <c r="F23" s="6">
        <v>21026</v>
      </c>
      <c r="G23" s="6">
        <v>200</v>
      </c>
      <c r="H23" s="12">
        <v>4630.0001139999995</v>
      </c>
      <c r="I23" s="6">
        <v>150</v>
      </c>
      <c r="J23" s="11">
        <f>Análises!F23</f>
        <v>8.7192222228960414</v>
      </c>
      <c r="K23" s="5"/>
      <c r="N23" s="5"/>
      <c r="O23" s="5"/>
    </row>
    <row r="24" spans="1:15">
      <c r="A24" s="6" t="s">
        <v>181</v>
      </c>
      <c r="B24" s="7">
        <v>44584</v>
      </c>
      <c r="C24" s="6" t="s">
        <v>158</v>
      </c>
      <c r="D24" s="6" t="s">
        <v>2</v>
      </c>
      <c r="E24" s="6" t="s">
        <v>1</v>
      </c>
      <c r="F24" s="6">
        <v>7132</v>
      </c>
      <c r="G24" s="6">
        <v>100</v>
      </c>
      <c r="H24" s="12">
        <v>2609.9998949999999</v>
      </c>
      <c r="I24" s="6">
        <v>50</v>
      </c>
      <c r="J24" s="11">
        <f>Análises!F24</f>
        <v>4.7471266679878541</v>
      </c>
      <c r="N24" s="5"/>
      <c r="O24" s="5"/>
    </row>
    <row r="25" spans="1:15">
      <c r="A25" s="6" t="s">
        <v>181</v>
      </c>
      <c r="B25" s="7">
        <v>44585</v>
      </c>
      <c r="C25" s="6" t="s">
        <v>158</v>
      </c>
      <c r="D25" s="6" t="s">
        <v>2</v>
      </c>
      <c r="E25" s="6" t="s">
        <v>1</v>
      </c>
      <c r="F25" s="6">
        <v>12190</v>
      </c>
      <c r="G25" s="6">
        <v>100</v>
      </c>
      <c r="H25" s="12">
        <v>3049.9999519999997</v>
      </c>
      <c r="I25" s="6">
        <v>50</v>
      </c>
      <c r="J25" s="11">
        <f>Análises!F25</f>
        <v>3.9180328642837963</v>
      </c>
      <c r="N25" s="5"/>
      <c r="O25" s="5"/>
    </row>
    <row r="26" spans="1:15">
      <c r="A26" s="6" t="s">
        <v>181</v>
      </c>
      <c r="B26" s="7">
        <v>44586</v>
      </c>
      <c r="C26" s="6" t="s">
        <v>158</v>
      </c>
      <c r="D26" s="6" t="s">
        <v>2</v>
      </c>
      <c r="E26" s="6" t="s">
        <v>1</v>
      </c>
      <c r="F26" s="6">
        <v>12193</v>
      </c>
      <c r="G26" s="6">
        <v>100</v>
      </c>
      <c r="H26" s="12">
        <v>3059.9999430000003</v>
      </c>
      <c r="I26" s="6">
        <v>100</v>
      </c>
      <c r="J26" s="11">
        <f>Análises!F26</f>
        <v>8.803921751249522</v>
      </c>
      <c r="N26" s="5"/>
      <c r="O26" s="5"/>
    </row>
    <row r="27" spans="1:15">
      <c r="A27" s="6" t="s">
        <v>181</v>
      </c>
      <c r="B27" s="7">
        <v>44587</v>
      </c>
      <c r="C27" s="6" t="s">
        <v>158</v>
      </c>
      <c r="D27" s="6" t="s">
        <v>2</v>
      </c>
      <c r="E27" s="6" t="s">
        <v>1</v>
      </c>
      <c r="F27" s="6">
        <v>7440</v>
      </c>
      <c r="G27" s="6">
        <v>100</v>
      </c>
      <c r="H27" s="12">
        <v>2980.0000190000001</v>
      </c>
      <c r="I27" s="6">
        <v>100</v>
      </c>
      <c r="J27" s="11">
        <f>Análises!F27</f>
        <v>9.0671140297734336</v>
      </c>
      <c r="N27" s="5"/>
      <c r="O27" s="5"/>
    </row>
    <row r="28" spans="1:15">
      <c r="A28" s="6" t="s">
        <v>182</v>
      </c>
      <c r="B28" s="7">
        <v>44588</v>
      </c>
      <c r="C28" s="6" t="s">
        <v>158</v>
      </c>
      <c r="D28" s="6" t="s">
        <v>3</v>
      </c>
      <c r="E28" s="6" t="s">
        <v>5</v>
      </c>
      <c r="F28" s="6">
        <v>3812</v>
      </c>
      <c r="G28" s="6">
        <v>50</v>
      </c>
      <c r="H28" s="12">
        <v>1129.9999949999999</v>
      </c>
      <c r="I28" s="6">
        <v>150</v>
      </c>
      <c r="J28" s="11">
        <f>Análises!F28</f>
        <v>38.823009025765529</v>
      </c>
    </row>
    <row r="29" spans="1:15">
      <c r="A29" s="6" t="s">
        <v>183</v>
      </c>
      <c r="B29" s="7">
        <v>44589</v>
      </c>
      <c r="C29" s="6" t="s">
        <v>158</v>
      </c>
      <c r="D29" s="6" t="s">
        <v>3</v>
      </c>
      <c r="E29" s="6" t="s">
        <v>1</v>
      </c>
      <c r="F29" s="6">
        <v>19113</v>
      </c>
      <c r="G29" s="6">
        <v>200</v>
      </c>
      <c r="H29" s="12">
        <v>5520.0001000000002</v>
      </c>
      <c r="I29" s="6">
        <v>50</v>
      </c>
      <c r="J29" s="11">
        <f>Análises!F29</f>
        <v>1.7173912551197235</v>
      </c>
    </row>
    <row r="30" spans="1:15">
      <c r="A30" s="6" t="s">
        <v>183</v>
      </c>
      <c r="B30" s="7">
        <v>44590</v>
      </c>
      <c r="C30" s="6" t="s">
        <v>158</v>
      </c>
      <c r="D30" s="6" t="s">
        <v>3</v>
      </c>
      <c r="E30" s="6" t="s">
        <v>1</v>
      </c>
      <c r="F30" s="6">
        <v>10976</v>
      </c>
      <c r="G30" s="6">
        <v>100</v>
      </c>
      <c r="H30" s="12">
        <v>1690.000057</v>
      </c>
      <c r="I30" s="6">
        <v>100</v>
      </c>
      <c r="J30" s="11">
        <f>Análises!F30</f>
        <v>16.751478691222317</v>
      </c>
    </row>
    <row r="31" spans="1:15">
      <c r="A31" s="6" t="s">
        <v>183</v>
      </c>
      <c r="B31" s="7">
        <v>44591</v>
      </c>
      <c r="C31" s="6" t="s">
        <v>158</v>
      </c>
      <c r="D31" s="6" t="s">
        <v>3</v>
      </c>
      <c r="E31" s="6" t="s">
        <v>1</v>
      </c>
      <c r="F31" s="6">
        <v>23817</v>
      </c>
      <c r="G31" s="6">
        <v>350</v>
      </c>
      <c r="H31" s="12">
        <v>8470.000148000001</v>
      </c>
      <c r="I31" s="6">
        <v>100</v>
      </c>
      <c r="J31" s="11">
        <f>Análises!F31</f>
        <v>2.5419125709323422</v>
      </c>
    </row>
    <row r="32" spans="1:15">
      <c r="A32" s="6" t="s">
        <v>184</v>
      </c>
      <c r="B32" s="7">
        <v>44592</v>
      </c>
      <c r="C32" s="6" t="s">
        <v>158</v>
      </c>
      <c r="D32" s="6" t="s">
        <v>4</v>
      </c>
      <c r="E32" s="6" t="s">
        <v>5</v>
      </c>
      <c r="F32" s="6">
        <v>11199</v>
      </c>
      <c r="G32" s="6">
        <v>200</v>
      </c>
      <c r="H32" s="12">
        <v>5730.0000190000001</v>
      </c>
      <c r="I32" s="6">
        <v>100</v>
      </c>
      <c r="J32" s="11">
        <f>Análises!F32</f>
        <v>4.2356020768802027</v>
      </c>
    </row>
    <row r="33" spans="1:10">
      <c r="A33" s="6" t="s">
        <v>184</v>
      </c>
      <c r="B33" s="7">
        <v>44593</v>
      </c>
      <c r="C33" s="6" t="s">
        <v>158</v>
      </c>
      <c r="D33" s="6" t="s">
        <v>4</v>
      </c>
      <c r="E33" s="6" t="s">
        <v>5</v>
      </c>
      <c r="F33" s="6">
        <v>17572</v>
      </c>
      <c r="G33" s="6">
        <v>350</v>
      </c>
      <c r="H33" s="12">
        <v>9379.9999950000001</v>
      </c>
      <c r="I33" s="6">
        <v>50</v>
      </c>
      <c r="J33" s="11">
        <f>Análises!F33</f>
        <v>0.59914712238760504</v>
      </c>
    </row>
    <row r="34" spans="1:10">
      <c r="A34" s="6" t="s">
        <v>185</v>
      </c>
      <c r="B34" s="7">
        <v>44594</v>
      </c>
      <c r="C34" s="6" t="s">
        <v>158</v>
      </c>
      <c r="D34" s="6" t="s">
        <v>4</v>
      </c>
      <c r="E34" s="6" t="s">
        <v>1</v>
      </c>
      <c r="F34" s="6">
        <v>47224</v>
      </c>
      <c r="G34" s="6">
        <v>600</v>
      </c>
      <c r="H34" s="12">
        <v>15820.000169999999</v>
      </c>
      <c r="I34" s="6">
        <v>50</v>
      </c>
      <c r="J34" s="11">
        <f>Análises!F34</f>
        <v>-5.1833132818480836E-2</v>
      </c>
    </row>
    <row r="35" spans="1:10">
      <c r="A35" s="6" t="s">
        <v>185</v>
      </c>
      <c r="B35" s="7">
        <v>44595</v>
      </c>
      <c r="C35" s="6" t="s">
        <v>158</v>
      </c>
      <c r="D35" s="6" t="s">
        <v>4</v>
      </c>
      <c r="E35" s="6" t="s">
        <v>1</v>
      </c>
      <c r="F35" s="6">
        <v>2283</v>
      </c>
      <c r="G35" s="6">
        <v>50</v>
      </c>
      <c r="H35" s="12">
        <v>1470.000029</v>
      </c>
      <c r="I35" s="6">
        <v>50</v>
      </c>
      <c r="J35" s="11">
        <f>Análises!F35</f>
        <v>9.2040814313480528</v>
      </c>
    </row>
    <row r="36" spans="1:10">
      <c r="A36" s="6" t="s">
        <v>185</v>
      </c>
      <c r="B36" s="7">
        <v>44596</v>
      </c>
      <c r="C36" s="6" t="s">
        <v>158</v>
      </c>
      <c r="D36" s="6" t="s">
        <v>4</v>
      </c>
      <c r="E36" s="6" t="s">
        <v>1</v>
      </c>
      <c r="F36" s="6">
        <v>2182</v>
      </c>
      <c r="G36" s="6">
        <v>50</v>
      </c>
      <c r="H36" s="12">
        <v>1529.999971</v>
      </c>
      <c r="I36" s="6">
        <v>100</v>
      </c>
      <c r="J36" s="11">
        <f>Análises!F36</f>
        <v>18.607843508906839</v>
      </c>
    </row>
    <row r="37" spans="1:10">
      <c r="A37" s="6" t="s">
        <v>186</v>
      </c>
      <c r="B37" s="7">
        <v>44597</v>
      </c>
      <c r="C37" s="6" t="s">
        <v>159</v>
      </c>
      <c r="D37" s="6" t="s">
        <v>0</v>
      </c>
      <c r="E37" s="6" t="s">
        <v>5</v>
      </c>
      <c r="F37" s="6">
        <v>5576</v>
      </c>
      <c r="G37" s="6">
        <v>50</v>
      </c>
      <c r="H37" s="12">
        <v>1529.999971</v>
      </c>
      <c r="I37" s="6">
        <v>100</v>
      </c>
      <c r="J37" s="11">
        <f>Análises!F37</f>
        <v>18.607843508906839</v>
      </c>
    </row>
    <row r="38" spans="1:10">
      <c r="A38" s="6" t="s">
        <v>186</v>
      </c>
      <c r="B38" s="7">
        <v>44598</v>
      </c>
      <c r="C38" s="6" t="s">
        <v>159</v>
      </c>
      <c r="D38" s="6" t="s">
        <v>0</v>
      </c>
      <c r="E38" s="6" t="s">
        <v>5</v>
      </c>
      <c r="F38" s="6">
        <v>39337</v>
      </c>
      <c r="G38" s="6">
        <v>350</v>
      </c>
      <c r="H38" s="12">
        <v>10030.00009</v>
      </c>
      <c r="I38" s="6">
        <v>100</v>
      </c>
      <c r="J38" s="11">
        <f>Análises!F38</f>
        <v>1.9910268924035472</v>
      </c>
    </row>
    <row r="39" spans="1:10">
      <c r="A39" s="6" t="s">
        <v>186</v>
      </c>
      <c r="B39" s="7">
        <v>44599</v>
      </c>
      <c r="C39" s="6" t="s">
        <v>159</v>
      </c>
      <c r="D39" s="6" t="s">
        <v>0</v>
      </c>
      <c r="E39" s="6" t="s">
        <v>5</v>
      </c>
      <c r="F39" s="6">
        <v>13479</v>
      </c>
      <c r="G39" s="6">
        <v>150</v>
      </c>
      <c r="H39" s="12">
        <v>4250</v>
      </c>
      <c r="I39" s="6">
        <v>50</v>
      </c>
      <c r="J39" s="11">
        <f>Análises!F39</f>
        <v>2.5294117647058822</v>
      </c>
    </row>
    <row r="40" spans="1:10">
      <c r="A40" s="6" t="s">
        <v>186</v>
      </c>
      <c r="B40" s="7">
        <v>44600</v>
      </c>
      <c r="C40" s="6" t="s">
        <v>159</v>
      </c>
      <c r="D40" s="6" t="s">
        <v>0</v>
      </c>
      <c r="E40" s="6" t="s">
        <v>5</v>
      </c>
      <c r="F40" s="6">
        <v>57022</v>
      </c>
      <c r="G40" s="6">
        <v>650</v>
      </c>
      <c r="H40" s="12">
        <v>20290.000319999999</v>
      </c>
      <c r="I40" s="6">
        <v>300</v>
      </c>
      <c r="J40" s="11">
        <f>Análises!F40</f>
        <v>3.4356825323105769</v>
      </c>
    </row>
    <row r="41" spans="1:10">
      <c r="A41" s="6" t="s">
        <v>186</v>
      </c>
      <c r="B41" s="7">
        <v>44601</v>
      </c>
      <c r="C41" s="6" t="s">
        <v>159</v>
      </c>
      <c r="D41" s="6" t="s">
        <v>0</v>
      </c>
      <c r="E41" s="6" t="s">
        <v>5</v>
      </c>
      <c r="F41" s="6">
        <v>5453</v>
      </c>
      <c r="G41" s="6">
        <v>50</v>
      </c>
      <c r="H41" s="12">
        <v>1389.999986</v>
      </c>
      <c r="I41" s="6">
        <v>100</v>
      </c>
      <c r="J41" s="11">
        <f>Análises!F41</f>
        <v>20.582734030329696</v>
      </c>
    </row>
    <row r="42" spans="1:10">
      <c r="A42" s="6" t="s">
        <v>186</v>
      </c>
      <c r="B42" s="7">
        <v>44602</v>
      </c>
      <c r="C42" s="6" t="s">
        <v>159</v>
      </c>
      <c r="D42" s="6" t="s">
        <v>0</v>
      </c>
      <c r="E42" s="6" t="s">
        <v>5</v>
      </c>
      <c r="F42" s="6">
        <v>11803</v>
      </c>
      <c r="G42" s="6">
        <v>150</v>
      </c>
      <c r="H42" s="12">
        <v>4440.0000570000002</v>
      </c>
      <c r="I42" s="6">
        <v>50</v>
      </c>
      <c r="J42" s="11">
        <f>Análises!F42</f>
        <v>2.3783783350073047</v>
      </c>
    </row>
    <row r="43" spans="1:10">
      <c r="A43" s="6" t="s">
        <v>186</v>
      </c>
      <c r="B43" s="7">
        <v>44603</v>
      </c>
      <c r="C43" s="6" t="s">
        <v>159</v>
      </c>
      <c r="D43" s="6" t="s">
        <v>0</v>
      </c>
      <c r="E43" s="6" t="s">
        <v>5</v>
      </c>
      <c r="F43" s="6">
        <v>4259</v>
      </c>
      <c r="G43" s="6">
        <v>50</v>
      </c>
      <c r="H43" s="12">
        <v>1570.0000519999999</v>
      </c>
      <c r="I43" s="6">
        <v>100</v>
      </c>
      <c r="J43" s="11">
        <f>Análises!F43</f>
        <v>18.108279621891377</v>
      </c>
    </row>
    <row r="44" spans="1:10">
      <c r="A44" s="6" t="s">
        <v>186</v>
      </c>
      <c r="B44" s="7">
        <v>44604</v>
      </c>
      <c r="C44" s="6" t="s">
        <v>159</v>
      </c>
      <c r="D44" s="6" t="s">
        <v>0</v>
      </c>
      <c r="E44" s="6" t="s">
        <v>5</v>
      </c>
      <c r="F44" s="6">
        <v>5323</v>
      </c>
      <c r="G44" s="6">
        <v>50</v>
      </c>
      <c r="H44" s="12">
        <v>1289.9999620000001</v>
      </c>
      <c r="I44" s="6">
        <v>100</v>
      </c>
      <c r="J44" s="11">
        <f>Análises!F44</f>
        <v>22.255814638543374</v>
      </c>
    </row>
    <row r="45" spans="1:10">
      <c r="A45" s="6" t="s">
        <v>186</v>
      </c>
      <c r="B45" s="7">
        <v>44605</v>
      </c>
      <c r="C45" s="6" t="s">
        <v>159</v>
      </c>
      <c r="D45" s="6" t="s">
        <v>0</v>
      </c>
      <c r="E45" s="6" t="s">
        <v>5</v>
      </c>
      <c r="F45" s="6">
        <v>17553</v>
      </c>
      <c r="G45" s="6">
        <v>150</v>
      </c>
      <c r="H45" s="12">
        <v>4590.000153</v>
      </c>
      <c r="I45" s="6">
        <v>50</v>
      </c>
      <c r="J45" s="11">
        <f>Análises!F45</f>
        <v>2.2679737472766921</v>
      </c>
    </row>
    <row r="46" spans="1:10">
      <c r="A46" s="6" t="s">
        <v>186</v>
      </c>
      <c r="B46" s="7">
        <v>44606</v>
      </c>
      <c r="C46" s="6" t="s">
        <v>159</v>
      </c>
      <c r="D46" s="6" t="s">
        <v>0</v>
      </c>
      <c r="E46" s="6" t="s">
        <v>5</v>
      </c>
      <c r="F46" s="6">
        <v>3343</v>
      </c>
      <c r="G46" s="6">
        <v>50</v>
      </c>
      <c r="H46" s="12">
        <v>540.00002099999995</v>
      </c>
      <c r="I46" s="6">
        <v>50</v>
      </c>
      <c r="J46" s="11">
        <f>Análises!F46</f>
        <v>26.777776697530911</v>
      </c>
    </row>
    <row r="47" spans="1:10">
      <c r="A47" s="6" t="s">
        <v>186</v>
      </c>
      <c r="B47" s="7">
        <v>44607</v>
      </c>
      <c r="C47" s="6" t="s">
        <v>159</v>
      </c>
      <c r="D47" s="6" t="s">
        <v>0</v>
      </c>
      <c r="E47" s="6" t="s">
        <v>5</v>
      </c>
      <c r="F47" s="6">
        <v>34740</v>
      </c>
      <c r="G47" s="6">
        <v>350</v>
      </c>
      <c r="H47" s="12">
        <v>13410.000090000001</v>
      </c>
      <c r="I47" s="6">
        <v>100</v>
      </c>
      <c r="J47" s="11">
        <f>Análises!F47</f>
        <v>1.2371364503100459</v>
      </c>
    </row>
    <row r="48" spans="1:10">
      <c r="A48" s="6" t="s">
        <v>186</v>
      </c>
      <c r="B48" s="7">
        <v>44608</v>
      </c>
      <c r="C48" s="6" t="s">
        <v>159</v>
      </c>
      <c r="D48" s="6" t="s">
        <v>0</v>
      </c>
      <c r="E48" s="6" t="s">
        <v>5</v>
      </c>
      <c r="F48" s="6">
        <v>31393</v>
      </c>
      <c r="G48" s="6">
        <v>400</v>
      </c>
      <c r="H48" s="12">
        <v>10960.00051</v>
      </c>
      <c r="I48" s="6">
        <v>100</v>
      </c>
      <c r="J48" s="11">
        <f>Análises!F48</f>
        <v>1.7372261500013382</v>
      </c>
    </row>
    <row r="49" spans="1:10">
      <c r="A49" s="6" t="s">
        <v>186</v>
      </c>
      <c r="B49" s="7">
        <v>44609</v>
      </c>
      <c r="C49" s="6" t="s">
        <v>159</v>
      </c>
      <c r="D49" s="6" t="s">
        <v>0</v>
      </c>
      <c r="E49" s="6" t="s">
        <v>5</v>
      </c>
      <c r="F49" s="6">
        <v>8410</v>
      </c>
      <c r="G49" s="6">
        <v>100</v>
      </c>
      <c r="H49" s="12">
        <v>2359.9998949999999</v>
      </c>
      <c r="I49" s="6">
        <v>100</v>
      </c>
      <c r="J49" s="11">
        <f>Análises!F49</f>
        <v>11.711864972349925</v>
      </c>
    </row>
    <row r="50" spans="1:10">
      <c r="A50" s="6" t="s">
        <v>186</v>
      </c>
      <c r="B50" s="7">
        <v>44610</v>
      </c>
      <c r="C50" s="6" t="s">
        <v>159</v>
      </c>
      <c r="D50" s="6" t="s">
        <v>0</v>
      </c>
      <c r="E50" s="6" t="s">
        <v>5</v>
      </c>
      <c r="F50" s="6">
        <v>25884</v>
      </c>
      <c r="G50" s="6">
        <v>250</v>
      </c>
      <c r="H50" s="12">
        <v>7350.0001430000002</v>
      </c>
      <c r="I50" s="6">
        <v>50</v>
      </c>
      <c r="J50" s="11">
        <f>Análises!F50</f>
        <v>1.0408162868249349</v>
      </c>
    </row>
    <row r="51" spans="1:10">
      <c r="A51" s="6" t="s">
        <v>186</v>
      </c>
      <c r="B51" s="7">
        <v>44611</v>
      </c>
      <c r="C51" s="6" t="s">
        <v>159</v>
      </c>
      <c r="D51" s="6" t="s">
        <v>0</v>
      </c>
      <c r="E51" s="6" t="s">
        <v>5</v>
      </c>
      <c r="F51" s="6">
        <v>28488</v>
      </c>
      <c r="G51" s="6">
        <v>500</v>
      </c>
      <c r="H51" s="12">
        <v>9340.0000330000003</v>
      </c>
      <c r="I51" s="6">
        <v>50</v>
      </c>
      <c r="J51" s="11">
        <f>Análises!F51</f>
        <v>0.60599571167046473</v>
      </c>
    </row>
    <row r="52" spans="1:10">
      <c r="A52" s="6" t="s">
        <v>186</v>
      </c>
      <c r="B52" s="7">
        <v>44612</v>
      </c>
      <c r="C52" s="6" t="s">
        <v>159</v>
      </c>
      <c r="D52" s="6" t="s">
        <v>0</v>
      </c>
      <c r="E52" s="6" t="s">
        <v>5</v>
      </c>
      <c r="F52" s="6">
        <v>10126</v>
      </c>
      <c r="G52" s="6">
        <v>150</v>
      </c>
      <c r="H52" s="12">
        <v>4619.9998860000005</v>
      </c>
      <c r="I52" s="6">
        <v>50</v>
      </c>
      <c r="J52" s="11">
        <f>Análises!F52</f>
        <v>2.2467533268679385</v>
      </c>
    </row>
    <row r="53" spans="1:10">
      <c r="A53" s="6" t="s">
        <v>186</v>
      </c>
      <c r="B53" s="7">
        <v>44613</v>
      </c>
      <c r="C53" s="6" t="s">
        <v>159</v>
      </c>
      <c r="D53" s="6" t="s">
        <v>0</v>
      </c>
      <c r="E53" s="6" t="s">
        <v>5</v>
      </c>
      <c r="F53" s="6">
        <v>22572</v>
      </c>
      <c r="G53" s="6">
        <v>250</v>
      </c>
      <c r="H53" s="12">
        <v>8500</v>
      </c>
      <c r="I53" s="6">
        <v>50</v>
      </c>
      <c r="J53" s="11">
        <f>Análises!F53</f>
        <v>0.76470588235294112</v>
      </c>
    </row>
    <row r="54" spans="1:10">
      <c r="A54" s="6" t="s">
        <v>186</v>
      </c>
      <c r="B54" s="7">
        <v>44614</v>
      </c>
      <c r="C54" s="6" t="s">
        <v>159</v>
      </c>
      <c r="D54" s="6" t="s">
        <v>0</v>
      </c>
      <c r="E54" s="6" t="s">
        <v>5</v>
      </c>
      <c r="F54" s="6">
        <v>8774</v>
      </c>
      <c r="G54" s="6">
        <v>50</v>
      </c>
      <c r="H54" s="12">
        <v>1830.000043</v>
      </c>
      <c r="I54" s="6">
        <v>50</v>
      </c>
      <c r="J54" s="11">
        <f>Análises!F54</f>
        <v>7.1967211188748585</v>
      </c>
    </row>
    <row r="55" spans="1:10">
      <c r="A55" s="6" t="s">
        <v>186</v>
      </c>
      <c r="B55" s="7">
        <v>44615</v>
      </c>
      <c r="C55" s="6" t="s">
        <v>159</v>
      </c>
      <c r="D55" s="6" t="s">
        <v>0</v>
      </c>
      <c r="E55" s="6" t="s">
        <v>5</v>
      </c>
      <c r="F55" s="6">
        <v>14459</v>
      </c>
      <c r="G55" s="6">
        <v>50</v>
      </c>
      <c r="H55" s="12">
        <v>1389.999986</v>
      </c>
      <c r="I55" s="6">
        <v>50</v>
      </c>
      <c r="J55" s="11">
        <f>Análises!F55</f>
        <v>9.7913670151648464</v>
      </c>
    </row>
    <row r="56" spans="1:10">
      <c r="A56" s="6" t="s">
        <v>186</v>
      </c>
      <c r="B56" s="7">
        <v>44616</v>
      </c>
      <c r="C56" s="6" t="s">
        <v>159</v>
      </c>
      <c r="D56" s="6" t="s">
        <v>0</v>
      </c>
      <c r="E56" s="6" t="s">
        <v>5</v>
      </c>
      <c r="F56" s="6">
        <v>21596</v>
      </c>
      <c r="G56" s="6">
        <v>100</v>
      </c>
      <c r="H56" s="12">
        <v>2809.9999430000003</v>
      </c>
      <c r="I56" s="6">
        <v>50</v>
      </c>
      <c r="J56" s="11">
        <f>Análises!F56</f>
        <v>4.3380784000962516</v>
      </c>
    </row>
    <row r="57" spans="1:10">
      <c r="A57" s="6" t="s">
        <v>186</v>
      </c>
      <c r="B57" s="7">
        <v>44617</v>
      </c>
      <c r="C57" s="6" t="s">
        <v>159</v>
      </c>
      <c r="D57" s="6" t="s">
        <v>0</v>
      </c>
      <c r="E57" s="6" t="s">
        <v>5</v>
      </c>
      <c r="F57" s="6">
        <v>66765</v>
      </c>
      <c r="G57" s="6">
        <v>400</v>
      </c>
      <c r="H57" s="12">
        <v>11049.99971</v>
      </c>
      <c r="I57" s="6">
        <v>50</v>
      </c>
      <c r="J57" s="11">
        <f>Análises!F57</f>
        <v>0.35746609897422338</v>
      </c>
    </row>
    <row r="58" spans="1:10">
      <c r="A58" s="6" t="s">
        <v>186</v>
      </c>
      <c r="B58" s="7">
        <v>44618</v>
      </c>
      <c r="C58" s="6" t="s">
        <v>159</v>
      </c>
      <c r="D58" s="6" t="s">
        <v>0</v>
      </c>
      <c r="E58" s="6" t="s">
        <v>5</v>
      </c>
      <c r="F58" s="6">
        <v>26910</v>
      </c>
      <c r="G58" s="6">
        <v>250</v>
      </c>
      <c r="H58" s="12">
        <v>7229.9997810000004</v>
      </c>
      <c r="I58" s="6">
        <v>50</v>
      </c>
      <c r="J58" s="11">
        <f>Análises!F58</f>
        <v>1.0746888595237702</v>
      </c>
    </row>
    <row r="59" spans="1:10">
      <c r="A59" s="6" t="s">
        <v>186</v>
      </c>
      <c r="B59" s="7">
        <v>44619</v>
      </c>
      <c r="C59" s="6" t="s">
        <v>159</v>
      </c>
      <c r="D59" s="6" t="s">
        <v>0</v>
      </c>
      <c r="E59" s="6" t="s">
        <v>5</v>
      </c>
      <c r="F59" s="6">
        <v>3989</v>
      </c>
      <c r="G59" s="6">
        <v>50</v>
      </c>
      <c r="H59" s="12">
        <v>1279.999971</v>
      </c>
      <c r="I59" s="6">
        <v>50</v>
      </c>
      <c r="J59" s="11">
        <f>Análises!F59</f>
        <v>10.718750265502937</v>
      </c>
    </row>
    <row r="60" spans="1:10">
      <c r="A60" s="6" t="s">
        <v>186</v>
      </c>
      <c r="B60" s="7">
        <v>44620</v>
      </c>
      <c r="C60" s="6" t="s">
        <v>159</v>
      </c>
      <c r="D60" s="6" t="s">
        <v>0</v>
      </c>
      <c r="E60" s="6" t="s">
        <v>5</v>
      </c>
      <c r="F60" s="6">
        <v>33144</v>
      </c>
      <c r="G60" s="6">
        <v>450</v>
      </c>
      <c r="H60" s="12">
        <v>13409.99985</v>
      </c>
      <c r="I60" s="6">
        <v>50</v>
      </c>
      <c r="J60" s="11">
        <f>Análises!F60</f>
        <v>0.11856824517414143</v>
      </c>
    </row>
    <row r="61" spans="1:10">
      <c r="A61" s="6" t="s">
        <v>186</v>
      </c>
      <c r="B61" s="7">
        <v>44621</v>
      </c>
      <c r="C61" s="6" t="s">
        <v>159</v>
      </c>
      <c r="D61" s="6" t="s">
        <v>0</v>
      </c>
      <c r="E61" s="6" t="s">
        <v>5</v>
      </c>
      <c r="F61" s="6">
        <v>8613</v>
      </c>
      <c r="G61" s="6">
        <v>50</v>
      </c>
      <c r="H61" s="12">
        <v>889.99998599999992</v>
      </c>
      <c r="I61" s="6">
        <v>100</v>
      </c>
      <c r="J61" s="11">
        <f>Análises!F61</f>
        <v>32.707865698775421</v>
      </c>
    </row>
    <row r="62" spans="1:10">
      <c r="A62" s="6" t="s">
        <v>186</v>
      </c>
      <c r="B62" s="7">
        <v>44622</v>
      </c>
      <c r="C62" s="6" t="s">
        <v>159</v>
      </c>
      <c r="D62" s="6" t="s">
        <v>0</v>
      </c>
      <c r="E62" s="6" t="s">
        <v>5</v>
      </c>
      <c r="F62" s="6">
        <v>51816</v>
      </c>
      <c r="G62" s="6">
        <v>400</v>
      </c>
      <c r="H62" s="12">
        <v>10229.999899999999</v>
      </c>
      <c r="I62" s="6">
        <v>150</v>
      </c>
      <c r="J62" s="11">
        <f>Análises!F62</f>
        <v>3.3988270224714281</v>
      </c>
    </row>
    <row r="63" spans="1:10">
      <c r="A63" s="6" t="s">
        <v>186</v>
      </c>
      <c r="B63" s="7">
        <v>44623</v>
      </c>
      <c r="C63" s="6" t="s">
        <v>159</v>
      </c>
      <c r="D63" s="6" t="s">
        <v>0</v>
      </c>
      <c r="E63" s="6" t="s">
        <v>5</v>
      </c>
      <c r="F63" s="6">
        <v>27289</v>
      </c>
      <c r="G63" s="6">
        <v>150</v>
      </c>
      <c r="H63" s="12">
        <v>4429.999828</v>
      </c>
      <c r="I63" s="6">
        <v>50</v>
      </c>
      <c r="J63" s="11">
        <f>Análises!F63</f>
        <v>2.3860046461383293</v>
      </c>
    </row>
    <row r="64" spans="1:10">
      <c r="A64" s="6" t="s">
        <v>186</v>
      </c>
      <c r="B64" s="7">
        <v>44624</v>
      </c>
      <c r="C64" s="6" t="s">
        <v>159</v>
      </c>
      <c r="D64" s="6" t="s">
        <v>0</v>
      </c>
      <c r="E64" s="6" t="s">
        <v>5</v>
      </c>
      <c r="F64" s="6">
        <v>20409</v>
      </c>
      <c r="G64" s="6">
        <v>200</v>
      </c>
      <c r="H64" s="12">
        <v>3829.9999240000002</v>
      </c>
      <c r="I64" s="6">
        <v>50</v>
      </c>
      <c r="J64" s="11">
        <f>Análises!F64</f>
        <v>2.9164491638773202</v>
      </c>
    </row>
    <row r="65" spans="1:10">
      <c r="A65" s="6" t="s">
        <v>186</v>
      </c>
      <c r="B65" s="7">
        <v>44625</v>
      </c>
      <c r="C65" s="6" t="s">
        <v>159</v>
      </c>
      <c r="D65" s="6" t="s">
        <v>0</v>
      </c>
      <c r="E65" s="6" t="s">
        <v>5</v>
      </c>
      <c r="F65" s="6">
        <v>8044</v>
      </c>
      <c r="G65" s="6">
        <v>50</v>
      </c>
      <c r="H65" s="12">
        <v>1110.000014</v>
      </c>
      <c r="I65" s="6">
        <v>50</v>
      </c>
      <c r="J65" s="11">
        <f>Análises!F65</f>
        <v>12.513513343072805</v>
      </c>
    </row>
    <row r="66" spans="1:10">
      <c r="A66" s="6" t="s">
        <v>186</v>
      </c>
      <c r="B66" s="7">
        <v>44626</v>
      </c>
      <c r="C66" s="6" t="s">
        <v>159</v>
      </c>
      <c r="D66" s="6" t="s">
        <v>0</v>
      </c>
      <c r="E66" s="6" t="s">
        <v>5</v>
      </c>
      <c r="F66" s="6">
        <v>15645</v>
      </c>
      <c r="G66" s="6">
        <v>200</v>
      </c>
      <c r="H66" s="12">
        <v>5349.9999049999997</v>
      </c>
      <c r="I66" s="6">
        <v>50</v>
      </c>
      <c r="J66" s="11">
        <f>Análises!F66</f>
        <v>1.8037383675430176</v>
      </c>
    </row>
    <row r="67" spans="1:10">
      <c r="A67" s="6" t="s">
        <v>186</v>
      </c>
      <c r="B67" s="7">
        <v>44627</v>
      </c>
      <c r="C67" s="6" t="s">
        <v>159</v>
      </c>
      <c r="D67" s="6" t="s">
        <v>0</v>
      </c>
      <c r="E67" s="6" t="s">
        <v>5</v>
      </c>
      <c r="F67" s="6">
        <v>4402</v>
      </c>
      <c r="G67" s="6">
        <v>50</v>
      </c>
      <c r="H67" s="12">
        <v>1330.000043</v>
      </c>
      <c r="I67" s="6">
        <v>100</v>
      </c>
      <c r="J67" s="11">
        <f>Análises!F67</f>
        <v>21.556390248176857</v>
      </c>
    </row>
    <row r="68" spans="1:10">
      <c r="A68" s="6" t="s">
        <v>186</v>
      </c>
      <c r="B68" s="7">
        <v>44628</v>
      </c>
      <c r="C68" s="6" t="s">
        <v>159</v>
      </c>
      <c r="D68" s="6" t="s">
        <v>0</v>
      </c>
      <c r="E68" s="6" t="s">
        <v>5</v>
      </c>
      <c r="F68" s="6">
        <v>8469</v>
      </c>
      <c r="G68" s="6">
        <v>100</v>
      </c>
      <c r="H68" s="12">
        <v>3089.999914</v>
      </c>
      <c r="I68" s="6">
        <v>50</v>
      </c>
      <c r="J68" s="11">
        <f>Análises!F68</f>
        <v>3.8543690671442525</v>
      </c>
    </row>
    <row r="69" spans="1:10">
      <c r="A69" s="6" t="s">
        <v>186</v>
      </c>
      <c r="B69" s="7">
        <v>44629</v>
      </c>
      <c r="C69" s="6" t="s">
        <v>159</v>
      </c>
      <c r="D69" s="6" t="s">
        <v>0</v>
      </c>
      <c r="E69" s="6" t="s">
        <v>5</v>
      </c>
      <c r="F69" s="6">
        <v>5823</v>
      </c>
      <c r="G69" s="6">
        <v>50</v>
      </c>
      <c r="H69" s="12">
        <v>1419.999957</v>
      </c>
      <c r="I69" s="6">
        <v>100</v>
      </c>
      <c r="J69" s="11">
        <f>Análises!F69</f>
        <v>20.126761203134318</v>
      </c>
    </row>
    <row r="70" spans="1:10">
      <c r="A70" s="6" t="s">
        <v>186</v>
      </c>
      <c r="B70" s="7">
        <v>44630</v>
      </c>
      <c r="C70" s="6" t="s">
        <v>159</v>
      </c>
      <c r="D70" s="6" t="s">
        <v>0</v>
      </c>
      <c r="E70" s="6" t="s">
        <v>5</v>
      </c>
      <c r="F70" s="6">
        <v>4971</v>
      </c>
      <c r="G70" s="6">
        <v>50</v>
      </c>
      <c r="H70" s="12">
        <v>1230.0000190000001</v>
      </c>
      <c r="I70" s="6">
        <v>100</v>
      </c>
      <c r="J70" s="11">
        <f>Análises!F70</f>
        <v>23.390243525679164</v>
      </c>
    </row>
    <row r="71" spans="1:10">
      <c r="A71" s="6" t="s">
        <v>186</v>
      </c>
      <c r="B71" s="7">
        <v>44631</v>
      </c>
      <c r="C71" s="6" t="s">
        <v>159</v>
      </c>
      <c r="D71" s="6" t="s">
        <v>0</v>
      </c>
      <c r="E71" s="6" t="s">
        <v>5</v>
      </c>
      <c r="F71" s="6">
        <v>13621</v>
      </c>
      <c r="G71" s="6">
        <v>150</v>
      </c>
      <c r="H71" s="12">
        <v>4090.0000329999998</v>
      </c>
      <c r="I71" s="6">
        <v>50</v>
      </c>
      <c r="J71" s="11">
        <f>Análises!F71</f>
        <v>2.6674816330007594</v>
      </c>
    </row>
    <row r="72" spans="1:10">
      <c r="A72" s="6" t="s">
        <v>186</v>
      </c>
      <c r="B72" s="7">
        <v>44632</v>
      </c>
      <c r="C72" s="6" t="s">
        <v>159</v>
      </c>
      <c r="D72" s="6" t="s">
        <v>0</v>
      </c>
      <c r="E72" s="6" t="s">
        <v>5</v>
      </c>
      <c r="F72" s="6">
        <v>6175</v>
      </c>
      <c r="G72" s="6">
        <v>50</v>
      </c>
      <c r="H72" s="12">
        <v>1370.0000050000001</v>
      </c>
      <c r="I72" s="6">
        <v>150</v>
      </c>
      <c r="J72" s="11">
        <f>Análises!F72</f>
        <v>31.846715208588627</v>
      </c>
    </row>
    <row r="73" spans="1:10">
      <c r="A73" s="6" t="s">
        <v>186</v>
      </c>
      <c r="B73" s="7">
        <v>44633</v>
      </c>
      <c r="C73" s="6" t="s">
        <v>159</v>
      </c>
      <c r="D73" s="6" t="s">
        <v>0</v>
      </c>
      <c r="E73" s="6" t="s">
        <v>5</v>
      </c>
      <c r="F73" s="6">
        <v>9076</v>
      </c>
      <c r="G73" s="6">
        <v>50</v>
      </c>
      <c r="H73" s="12">
        <v>1379.9999949999999</v>
      </c>
      <c r="I73" s="6">
        <v>100</v>
      </c>
      <c r="J73" s="11">
        <f>Análises!F73</f>
        <v>20.739130513547575</v>
      </c>
    </row>
    <row r="74" spans="1:10">
      <c r="A74" s="6" t="s">
        <v>186</v>
      </c>
      <c r="B74" s="7">
        <v>44634</v>
      </c>
      <c r="C74" s="6" t="s">
        <v>159</v>
      </c>
      <c r="D74" s="6" t="s">
        <v>0</v>
      </c>
      <c r="E74" s="6" t="s">
        <v>5</v>
      </c>
      <c r="F74" s="6">
        <v>20941</v>
      </c>
      <c r="G74" s="6">
        <v>200</v>
      </c>
      <c r="H74" s="12">
        <v>5909.9999669999997</v>
      </c>
      <c r="I74" s="6">
        <v>100</v>
      </c>
      <c r="J74" s="11">
        <f>Análises!F74</f>
        <v>4.076142160323637</v>
      </c>
    </row>
    <row r="75" spans="1:10">
      <c r="A75" s="6" t="s">
        <v>186</v>
      </c>
      <c r="B75" s="7">
        <v>44635</v>
      </c>
      <c r="C75" s="6" t="s">
        <v>159</v>
      </c>
      <c r="D75" s="6" t="s">
        <v>0</v>
      </c>
      <c r="E75" s="6" t="s">
        <v>5</v>
      </c>
      <c r="F75" s="6">
        <v>24491</v>
      </c>
      <c r="G75" s="6">
        <v>350</v>
      </c>
      <c r="H75" s="12">
        <v>9539.9999619999999</v>
      </c>
      <c r="I75" s="6">
        <v>50</v>
      </c>
      <c r="J75" s="11">
        <f>Análises!F75</f>
        <v>0.57232705028809516</v>
      </c>
    </row>
    <row r="76" spans="1:10">
      <c r="A76" s="6" t="s">
        <v>186</v>
      </c>
      <c r="B76" s="7">
        <v>44636</v>
      </c>
      <c r="C76" s="6" t="s">
        <v>159</v>
      </c>
      <c r="D76" s="6" t="s">
        <v>0</v>
      </c>
      <c r="E76" s="6" t="s">
        <v>5</v>
      </c>
      <c r="F76" s="6">
        <v>44699</v>
      </c>
      <c r="G76" s="6">
        <v>650</v>
      </c>
      <c r="H76" s="12">
        <v>17300.000369999998</v>
      </c>
      <c r="I76" s="6">
        <v>100</v>
      </c>
      <c r="J76" s="11">
        <f>Análises!F76</f>
        <v>0.73410400915500118</v>
      </c>
    </row>
    <row r="77" spans="1:10">
      <c r="A77" s="6" t="s">
        <v>186</v>
      </c>
      <c r="B77" s="7">
        <v>44637</v>
      </c>
      <c r="C77" s="6" t="s">
        <v>159</v>
      </c>
      <c r="D77" s="6" t="s">
        <v>0</v>
      </c>
      <c r="E77" s="6" t="s">
        <v>5</v>
      </c>
      <c r="F77" s="6">
        <v>6469</v>
      </c>
      <c r="G77" s="6">
        <v>100</v>
      </c>
      <c r="H77" s="12">
        <v>1309.999943</v>
      </c>
      <c r="I77" s="6">
        <v>50</v>
      </c>
      <c r="J77" s="11">
        <f>Análises!F77</f>
        <v>10.450382177612049</v>
      </c>
    </row>
    <row r="78" spans="1:10">
      <c r="A78" s="6" t="s">
        <v>186</v>
      </c>
      <c r="B78" s="7">
        <v>44638</v>
      </c>
      <c r="C78" s="6" t="s">
        <v>159</v>
      </c>
      <c r="D78" s="6" t="s">
        <v>0</v>
      </c>
      <c r="E78" s="6" t="s">
        <v>5</v>
      </c>
      <c r="F78" s="6">
        <v>4706</v>
      </c>
      <c r="G78" s="6">
        <v>50</v>
      </c>
      <c r="H78" s="12">
        <v>1220.000029</v>
      </c>
      <c r="I78" s="6">
        <v>50</v>
      </c>
      <c r="J78" s="11">
        <f>Análises!F78</f>
        <v>11.295081674952975</v>
      </c>
    </row>
    <row r="79" spans="1:10">
      <c r="A79" s="6" t="s">
        <v>186</v>
      </c>
      <c r="B79" s="7">
        <v>44639</v>
      </c>
      <c r="C79" s="6" t="s">
        <v>159</v>
      </c>
      <c r="D79" s="6" t="s">
        <v>0</v>
      </c>
      <c r="E79" s="6" t="s">
        <v>5</v>
      </c>
      <c r="F79" s="6">
        <v>5040</v>
      </c>
      <c r="G79" s="6">
        <v>50</v>
      </c>
      <c r="H79" s="12">
        <v>1440.000057</v>
      </c>
      <c r="I79" s="6">
        <v>50</v>
      </c>
      <c r="J79" s="11">
        <f>Análises!F79</f>
        <v>9.4166662543402939</v>
      </c>
    </row>
    <row r="80" spans="1:10">
      <c r="A80" s="6" t="s">
        <v>186</v>
      </c>
      <c r="B80" s="7">
        <v>44640</v>
      </c>
      <c r="C80" s="6" t="s">
        <v>159</v>
      </c>
      <c r="D80" s="6" t="s">
        <v>0</v>
      </c>
      <c r="E80" s="6" t="s">
        <v>5</v>
      </c>
      <c r="F80" s="6">
        <v>8254</v>
      </c>
      <c r="G80" s="6">
        <v>100</v>
      </c>
      <c r="H80" s="12">
        <v>2320.0000520000003</v>
      </c>
      <c r="I80" s="6">
        <v>100</v>
      </c>
      <c r="J80" s="11">
        <f>Análises!F80</f>
        <v>11.931034192925095</v>
      </c>
    </row>
    <row r="81" spans="1:10">
      <c r="A81" s="6" t="s">
        <v>186</v>
      </c>
      <c r="B81" s="7">
        <v>44641</v>
      </c>
      <c r="C81" s="6" t="s">
        <v>159</v>
      </c>
      <c r="D81" s="6" t="s">
        <v>0</v>
      </c>
      <c r="E81" s="6" t="s">
        <v>5</v>
      </c>
      <c r="F81" s="6">
        <v>5704</v>
      </c>
      <c r="G81" s="6">
        <v>50</v>
      </c>
      <c r="H81" s="12">
        <v>1320.0000519999999</v>
      </c>
      <c r="I81" s="6">
        <v>50</v>
      </c>
      <c r="J81" s="11">
        <f>Análises!F81</f>
        <v>10.36363591597798</v>
      </c>
    </row>
    <row r="82" spans="1:10">
      <c r="A82" s="6" t="s">
        <v>186</v>
      </c>
      <c r="B82" s="7">
        <v>44642</v>
      </c>
      <c r="C82" s="6" t="s">
        <v>159</v>
      </c>
      <c r="D82" s="6" t="s">
        <v>0</v>
      </c>
      <c r="E82" s="6" t="s">
        <v>5</v>
      </c>
      <c r="F82" s="6">
        <v>37873</v>
      </c>
      <c r="G82" s="6">
        <v>250</v>
      </c>
      <c r="H82" s="12">
        <v>6169.999957</v>
      </c>
      <c r="I82" s="6">
        <v>100</v>
      </c>
      <c r="J82" s="11">
        <f>Análises!F82</f>
        <v>3.8622366627351989</v>
      </c>
    </row>
    <row r="83" spans="1:10">
      <c r="A83" s="6" t="s">
        <v>186</v>
      </c>
      <c r="B83" s="7">
        <v>44643</v>
      </c>
      <c r="C83" s="6" t="s">
        <v>159</v>
      </c>
      <c r="D83" s="6" t="s">
        <v>0</v>
      </c>
      <c r="E83" s="6" t="s">
        <v>5</v>
      </c>
      <c r="F83" s="6">
        <v>25267</v>
      </c>
      <c r="G83" s="6">
        <v>200</v>
      </c>
      <c r="H83" s="12">
        <v>4940.0000570000002</v>
      </c>
      <c r="I83" s="6">
        <v>150</v>
      </c>
      <c r="J83" s="11">
        <f>Análises!F83</f>
        <v>8.1093116357832464</v>
      </c>
    </row>
    <row r="84" spans="1:10">
      <c r="A84" s="6" t="s">
        <v>186</v>
      </c>
      <c r="B84" s="7">
        <v>44644</v>
      </c>
      <c r="C84" s="6" t="s">
        <v>159</v>
      </c>
      <c r="D84" s="6" t="s">
        <v>0</v>
      </c>
      <c r="E84" s="6" t="s">
        <v>5</v>
      </c>
      <c r="F84" s="6">
        <v>4783</v>
      </c>
      <c r="G84" s="6">
        <v>50</v>
      </c>
      <c r="H84" s="12">
        <v>860.00001400000008</v>
      </c>
      <c r="I84" s="6">
        <v>50</v>
      </c>
      <c r="J84" s="11">
        <f>Análises!F84</f>
        <v>16.44186018117902</v>
      </c>
    </row>
    <row r="85" spans="1:10">
      <c r="A85" s="6" t="s">
        <v>186</v>
      </c>
      <c r="B85" s="7">
        <v>44645</v>
      </c>
      <c r="C85" s="6" t="s">
        <v>159</v>
      </c>
      <c r="D85" s="6" t="s">
        <v>0</v>
      </c>
      <c r="E85" s="6" t="s">
        <v>5</v>
      </c>
      <c r="F85" s="6">
        <v>6475</v>
      </c>
      <c r="G85" s="6">
        <v>50</v>
      </c>
      <c r="H85" s="12">
        <v>1350.0000240000002</v>
      </c>
      <c r="I85" s="6">
        <v>50</v>
      </c>
      <c r="J85" s="11">
        <f>Análises!F85</f>
        <v>10.111110913580248</v>
      </c>
    </row>
    <row r="86" spans="1:10">
      <c r="A86" s="6" t="s">
        <v>186</v>
      </c>
      <c r="B86" s="7">
        <v>44646</v>
      </c>
      <c r="C86" s="6" t="s">
        <v>159</v>
      </c>
      <c r="D86" s="6" t="s">
        <v>0</v>
      </c>
      <c r="E86" s="6" t="s">
        <v>5</v>
      </c>
      <c r="F86" s="6">
        <v>5517</v>
      </c>
      <c r="G86" s="6">
        <v>50</v>
      </c>
      <c r="H86" s="12">
        <v>1230.0000190000001</v>
      </c>
      <c r="I86" s="6">
        <v>50</v>
      </c>
      <c r="J86" s="11">
        <f>Análises!F86</f>
        <v>11.195121762839582</v>
      </c>
    </row>
    <row r="87" spans="1:10">
      <c r="A87" s="6" t="s">
        <v>186</v>
      </c>
      <c r="B87" s="7">
        <v>44647</v>
      </c>
      <c r="C87" s="6" t="s">
        <v>159</v>
      </c>
      <c r="D87" s="6" t="s">
        <v>0</v>
      </c>
      <c r="E87" s="6" t="s">
        <v>5</v>
      </c>
      <c r="F87" s="6">
        <v>20050</v>
      </c>
      <c r="G87" s="6">
        <v>200</v>
      </c>
      <c r="H87" s="12">
        <v>4659.999847</v>
      </c>
      <c r="I87" s="6">
        <v>250</v>
      </c>
      <c r="J87" s="11">
        <f>Análises!F87</f>
        <v>15.094421129280351</v>
      </c>
    </row>
    <row r="88" spans="1:10">
      <c r="A88" s="6" t="s">
        <v>186</v>
      </c>
      <c r="B88" s="7">
        <v>44648</v>
      </c>
      <c r="C88" s="6" t="s">
        <v>159</v>
      </c>
      <c r="D88" s="6" t="s">
        <v>0</v>
      </c>
      <c r="E88" s="6" t="s">
        <v>5</v>
      </c>
      <c r="F88" s="6">
        <v>3717</v>
      </c>
      <c r="G88" s="6">
        <v>50</v>
      </c>
      <c r="H88" s="12">
        <v>1539.9999620000001</v>
      </c>
      <c r="I88" s="6">
        <v>50</v>
      </c>
      <c r="J88" s="11">
        <f>Análises!F88</f>
        <v>8.7402599806038168</v>
      </c>
    </row>
    <row r="89" spans="1:10">
      <c r="A89" s="6" t="s">
        <v>186</v>
      </c>
      <c r="B89" s="7">
        <v>44649</v>
      </c>
      <c r="C89" s="6" t="s">
        <v>159</v>
      </c>
      <c r="D89" s="6" t="s">
        <v>0</v>
      </c>
      <c r="E89" s="6" t="s">
        <v>5</v>
      </c>
      <c r="F89" s="6">
        <v>2879</v>
      </c>
      <c r="G89" s="6">
        <v>50</v>
      </c>
      <c r="H89" s="12">
        <v>1590.000033</v>
      </c>
      <c r="I89" s="6">
        <v>200</v>
      </c>
      <c r="J89" s="11">
        <f>Análises!F89</f>
        <v>36.735848273406923</v>
      </c>
    </row>
    <row r="90" spans="1:10">
      <c r="A90" s="6" t="s">
        <v>186</v>
      </c>
      <c r="B90" s="7">
        <v>44650</v>
      </c>
      <c r="C90" s="6" t="s">
        <v>159</v>
      </c>
      <c r="D90" s="6" t="s">
        <v>0</v>
      </c>
      <c r="E90" s="6" t="s">
        <v>5</v>
      </c>
      <c r="F90" s="6">
        <v>2749</v>
      </c>
      <c r="G90" s="6">
        <v>50</v>
      </c>
      <c r="H90" s="12">
        <v>1389.999986</v>
      </c>
      <c r="I90" s="6">
        <v>50</v>
      </c>
      <c r="J90" s="11">
        <f>Análises!F90</f>
        <v>9.7913670151648464</v>
      </c>
    </row>
    <row r="91" spans="1:10">
      <c r="A91" s="6" t="s">
        <v>186</v>
      </c>
      <c r="B91" s="7">
        <v>44651</v>
      </c>
      <c r="C91" s="6" t="s">
        <v>159</v>
      </c>
      <c r="D91" s="6" t="s">
        <v>0</v>
      </c>
      <c r="E91" s="6" t="s">
        <v>5</v>
      </c>
      <c r="F91" s="6">
        <v>2983</v>
      </c>
      <c r="G91" s="6">
        <v>50</v>
      </c>
      <c r="H91" s="12">
        <v>970.00002900000004</v>
      </c>
      <c r="I91" s="6">
        <v>50</v>
      </c>
      <c r="J91" s="11">
        <f>Análises!F91</f>
        <v>14.463917063449902</v>
      </c>
    </row>
    <row r="92" spans="1:10">
      <c r="A92" s="6" t="s">
        <v>186</v>
      </c>
      <c r="B92" s="7">
        <v>44652</v>
      </c>
      <c r="C92" s="6" t="s">
        <v>159</v>
      </c>
      <c r="D92" s="6" t="s">
        <v>0</v>
      </c>
      <c r="E92" s="6" t="s">
        <v>5</v>
      </c>
      <c r="F92" s="6">
        <v>4626</v>
      </c>
      <c r="G92" s="6">
        <v>100</v>
      </c>
      <c r="H92" s="12">
        <v>2099.9999049999997</v>
      </c>
      <c r="I92" s="6">
        <v>100</v>
      </c>
      <c r="J92" s="11">
        <f>Análises!F92</f>
        <v>13.285714931972819</v>
      </c>
    </row>
    <row r="93" spans="1:10">
      <c r="A93" s="6" t="s">
        <v>186</v>
      </c>
      <c r="B93" s="7">
        <v>44653</v>
      </c>
      <c r="C93" s="6" t="s">
        <v>159</v>
      </c>
      <c r="D93" s="6" t="s">
        <v>0</v>
      </c>
      <c r="E93" s="6" t="s">
        <v>5</v>
      </c>
      <c r="F93" s="6">
        <v>2764</v>
      </c>
      <c r="G93" s="6">
        <v>50</v>
      </c>
      <c r="H93" s="12">
        <v>1559.999943</v>
      </c>
      <c r="I93" s="6">
        <v>100</v>
      </c>
      <c r="J93" s="11">
        <f>Análises!F93</f>
        <v>18.230769933431979</v>
      </c>
    </row>
    <row r="94" spans="1:10">
      <c r="A94" s="6" t="s">
        <v>163</v>
      </c>
      <c r="B94" s="7">
        <v>44654</v>
      </c>
      <c r="C94" s="6" t="s">
        <v>159</v>
      </c>
      <c r="D94" s="6" t="s">
        <v>0</v>
      </c>
      <c r="E94" s="6" t="s">
        <v>1</v>
      </c>
      <c r="F94" s="6">
        <v>13329</v>
      </c>
      <c r="G94" s="6">
        <v>200</v>
      </c>
      <c r="H94" s="12">
        <v>5629.9999950000001</v>
      </c>
      <c r="I94" s="6">
        <v>100</v>
      </c>
      <c r="J94" s="11">
        <f>Análises!F94</f>
        <v>4.3285968075742423</v>
      </c>
    </row>
    <row r="95" spans="1:10">
      <c r="A95" s="6" t="s">
        <v>163</v>
      </c>
      <c r="B95" s="7">
        <v>44655</v>
      </c>
      <c r="C95" s="6" t="s">
        <v>159</v>
      </c>
      <c r="D95" s="6" t="s">
        <v>0</v>
      </c>
      <c r="E95" s="6" t="s">
        <v>1</v>
      </c>
      <c r="F95" s="6">
        <v>13659</v>
      </c>
      <c r="G95" s="6">
        <v>150</v>
      </c>
      <c r="H95" s="12">
        <v>3840.0000329999998</v>
      </c>
      <c r="I95" s="6">
        <v>50</v>
      </c>
      <c r="J95" s="11">
        <f>Análises!F95</f>
        <v>2.9062499664306642</v>
      </c>
    </row>
    <row r="96" spans="1:10">
      <c r="A96" s="6" t="s">
        <v>163</v>
      </c>
      <c r="B96" s="7">
        <v>44656</v>
      </c>
      <c r="C96" s="6" t="s">
        <v>159</v>
      </c>
      <c r="D96" s="6" t="s">
        <v>0</v>
      </c>
      <c r="E96" s="6" t="s">
        <v>1</v>
      </c>
      <c r="F96" s="6">
        <v>5374</v>
      </c>
      <c r="G96" s="6">
        <v>50</v>
      </c>
      <c r="H96" s="12">
        <v>1039.9999620000001</v>
      </c>
      <c r="I96" s="6">
        <v>200</v>
      </c>
      <c r="J96" s="11">
        <f>Análises!F96</f>
        <v>56.692309800295931</v>
      </c>
    </row>
    <row r="97" spans="1:10">
      <c r="A97" s="6" t="s">
        <v>163</v>
      </c>
      <c r="B97" s="7">
        <v>44657</v>
      </c>
      <c r="C97" s="6" t="s">
        <v>159</v>
      </c>
      <c r="D97" s="6" t="s">
        <v>0</v>
      </c>
      <c r="E97" s="6" t="s">
        <v>1</v>
      </c>
      <c r="F97" s="6">
        <v>2338</v>
      </c>
      <c r="G97" s="6">
        <v>50</v>
      </c>
      <c r="H97" s="12">
        <v>239.99999499999998</v>
      </c>
      <c r="I97" s="6">
        <v>50</v>
      </c>
      <c r="J97" s="11">
        <f>Análises!F97</f>
        <v>61.500001302083362</v>
      </c>
    </row>
    <row r="98" spans="1:10">
      <c r="A98" s="6" t="s">
        <v>163</v>
      </c>
      <c r="B98" s="7">
        <v>44658</v>
      </c>
      <c r="C98" s="6" t="s">
        <v>159</v>
      </c>
      <c r="D98" s="6" t="s">
        <v>0</v>
      </c>
      <c r="E98" s="6" t="s">
        <v>1</v>
      </c>
      <c r="F98" s="6">
        <v>3891</v>
      </c>
      <c r="G98" s="6">
        <v>50</v>
      </c>
      <c r="H98" s="12">
        <v>1090.000033</v>
      </c>
      <c r="I98" s="6">
        <v>50</v>
      </c>
      <c r="J98" s="11">
        <f>Análises!F98</f>
        <v>12.761467473276673</v>
      </c>
    </row>
    <row r="99" spans="1:10">
      <c r="A99" s="6" t="s">
        <v>163</v>
      </c>
      <c r="B99" s="7">
        <v>44659</v>
      </c>
      <c r="C99" s="6" t="s">
        <v>159</v>
      </c>
      <c r="D99" s="6" t="s">
        <v>0</v>
      </c>
      <c r="E99" s="6" t="s">
        <v>1</v>
      </c>
      <c r="F99" s="6">
        <v>7208</v>
      </c>
      <c r="G99" s="6">
        <v>100</v>
      </c>
      <c r="H99" s="12">
        <v>3190.0000569999997</v>
      </c>
      <c r="I99" s="6">
        <v>50</v>
      </c>
      <c r="J99" s="11">
        <f>Análises!F99</f>
        <v>3.7021942733463726</v>
      </c>
    </row>
    <row r="100" spans="1:10">
      <c r="A100" s="6" t="s">
        <v>163</v>
      </c>
      <c r="B100" s="7">
        <v>44660</v>
      </c>
      <c r="C100" s="6" t="s">
        <v>159</v>
      </c>
      <c r="D100" s="6" t="s">
        <v>0</v>
      </c>
      <c r="E100" s="6" t="s">
        <v>1</v>
      </c>
      <c r="F100" s="6">
        <v>12489</v>
      </c>
      <c r="G100" s="6">
        <v>100</v>
      </c>
      <c r="H100" s="12">
        <v>1960.0000379999999</v>
      </c>
      <c r="I100" s="6">
        <v>50</v>
      </c>
      <c r="J100" s="11">
        <f>Análises!F100</f>
        <v>6.6530610761141222</v>
      </c>
    </row>
    <row r="101" spans="1:10">
      <c r="A101" s="6" t="s">
        <v>163</v>
      </c>
      <c r="B101" s="7">
        <v>44661</v>
      </c>
      <c r="C101" s="6" t="s">
        <v>159</v>
      </c>
      <c r="D101" s="6" t="s">
        <v>0</v>
      </c>
      <c r="E101" s="6" t="s">
        <v>1</v>
      </c>
      <c r="F101" s="6">
        <v>8032</v>
      </c>
      <c r="G101" s="6">
        <v>50</v>
      </c>
      <c r="H101" s="12">
        <v>600.00002399999994</v>
      </c>
      <c r="I101" s="6">
        <v>100</v>
      </c>
      <c r="J101" s="11">
        <f>Análises!F101</f>
        <v>48.999998000000083</v>
      </c>
    </row>
    <row r="102" spans="1:10">
      <c r="A102" s="6" t="s">
        <v>163</v>
      </c>
      <c r="B102" s="7">
        <v>44662</v>
      </c>
      <c r="C102" s="6" t="s">
        <v>159</v>
      </c>
      <c r="D102" s="6" t="s">
        <v>0</v>
      </c>
      <c r="E102" s="6" t="s">
        <v>1</v>
      </c>
      <c r="F102" s="6">
        <v>23086</v>
      </c>
      <c r="G102" s="6">
        <v>100</v>
      </c>
      <c r="H102" s="12">
        <v>3310.0000620000001</v>
      </c>
      <c r="I102" s="6">
        <v>100</v>
      </c>
      <c r="J102" s="11">
        <f>Análises!F102</f>
        <v>8.0634439389928936</v>
      </c>
    </row>
    <row r="103" spans="1:10">
      <c r="A103" s="6" t="s">
        <v>163</v>
      </c>
      <c r="B103" s="7">
        <v>44663</v>
      </c>
      <c r="C103" s="6" t="s">
        <v>159</v>
      </c>
      <c r="D103" s="6" t="s">
        <v>0</v>
      </c>
      <c r="E103" s="6" t="s">
        <v>1</v>
      </c>
      <c r="F103" s="6">
        <v>16425</v>
      </c>
      <c r="G103" s="6">
        <v>50</v>
      </c>
      <c r="H103" s="12">
        <v>1549.9999520000001</v>
      </c>
      <c r="I103" s="6">
        <v>50</v>
      </c>
      <c r="J103" s="11">
        <f>Análises!F103</f>
        <v>8.6774196545265436</v>
      </c>
    </row>
    <row r="104" spans="1:10">
      <c r="A104" s="6" t="s">
        <v>163</v>
      </c>
      <c r="B104" s="7">
        <v>44664</v>
      </c>
      <c r="C104" s="6" t="s">
        <v>159</v>
      </c>
      <c r="D104" s="6" t="s">
        <v>0</v>
      </c>
      <c r="E104" s="6" t="s">
        <v>1</v>
      </c>
      <c r="F104" s="6">
        <v>43756</v>
      </c>
      <c r="G104" s="6">
        <v>250</v>
      </c>
      <c r="H104" s="12">
        <v>5439.9999379999999</v>
      </c>
      <c r="I104" s="6">
        <v>0</v>
      </c>
      <c r="J104" s="11">
        <f>Análises!F104</f>
        <v>-1</v>
      </c>
    </row>
    <row r="105" spans="1:10">
      <c r="A105" s="6" t="s">
        <v>163</v>
      </c>
      <c r="B105" s="7">
        <v>44665</v>
      </c>
      <c r="C105" s="6" t="s">
        <v>159</v>
      </c>
      <c r="D105" s="6" t="s">
        <v>0</v>
      </c>
      <c r="E105" s="6" t="s">
        <v>1</v>
      </c>
      <c r="F105" s="6">
        <v>33491</v>
      </c>
      <c r="G105" s="6">
        <v>300</v>
      </c>
      <c r="H105" s="12">
        <v>10569.999689999999</v>
      </c>
      <c r="I105" s="6">
        <v>150</v>
      </c>
      <c r="J105" s="11">
        <f>Análises!F105</f>
        <v>3.257332196761872</v>
      </c>
    </row>
    <row r="106" spans="1:10">
      <c r="A106" s="6" t="s">
        <v>163</v>
      </c>
      <c r="B106" s="7">
        <v>44666</v>
      </c>
      <c r="C106" s="6" t="s">
        <v>159</v>
      </c>
      <c r="D106" s="6" t="s">
        <v>0</v>
      </c>
      <c r="E106" s="6" t="s">
        <v>1</v>
      </c>
      <c r="F106" s="6">
        <v>20083</v>
      </c>
      <c r="G106" s="6">
        <v>100</v>
      </c>
      <c r="H106" s="12">
        <v>3200.0000480000003</v>
      </c>
      <c r="I106" s="6">
        <v>150</v>
      </c>
      <c r="J106" s="11">
        <f>Análises!F106</f>
        <v>13.062499789062501</v>
      </c>
    </row>
    <row r="107" spans="1:10">
      <c r="A107" s="6" t="s">
        <v>163</v>
      </c>
      <c r="B107" s="7">
        <v>44667</v>
      </c>
      <c r="C107" s="6" t="s">
        <v>159</v>
      </c>
      <c r="D107" s="6" t="s">
        <v>0</v>
      </c>
      <c r="E107" s="6" t="s">
        <v>1</v>
      </c>
      <c r="F107" s="6">
        <v>15466</v>
      </c>
      <c r="G107" s="6">
        <v>50</v>
      </c>
      <c r="H107" s="12">
        <v>970.00002900000004</v>
      </c>
      <c r="I107" s="6">
        <v>50</v>
      </c>
      <c r="J107" s="11">
        <f>Análises!F107</f>
        <v>14.463917063449902</v>
      </c>
    </row>
    <row r="108" spans="1:10">
      <c r="A108" s="6" t="s">
        <v>163</v>
      </c>
      <c r="B108" s="7">
        <v>44668</v>
      </c>
      <c r="C108" s="6" t="s">
        <v>159</v>
      </c>
      <c r="D108" s="6" t="s">
        <v>0</v>
      </c>
      <c r="E108" s="6" t="s">
        <v>1</v>
      </c>
      <c r="F108" s="6">
        <v>27072</v>
      </c>
      <c r="G108" s="6">
        <v>150</v>
      </c>
      <c r="H108" s="12">
        <v>4370.0000049999999</v>
      </c>
      <c r="I108" s="6">
        <v>50</v>
      </c>
      <c r="J108" s="11">
        <f>Análises!F108</f>
        <v>2.4324942752488625</v>
      </c>
    </row>
    <row r="109" spans="1:10">
      <c r="A109" s="6" t="s">
        <v>163</v>
      </c>
      <c r="B109" s="7">
        <v>44669</v>
      </c>
      <c r="C109" s="6" t="s">
        <v>159</v>
      </c>
      <c r="D109" s="6" t="s">
        <v>0</v>
      </c>
      <c r="E109" s="6" t="s">
        <v>1</v>
      </c>
      <c r="F109" s="6">
        <v>15753</v>
      </c>
      <c r="G109" s="6">
        <v>50</v>
      </c>
      <c r="H109" s="12">
        <v>569.99999300000002</v>
      </c>
      <c r="I109" s="6">
        <v>100</v>
      </c>
      <c r="J109" s="11">
        <f>Análises!F109</f>
        <v>51.631579593721149</v>
      </c>
    </row>
    <row r="110" spans="1:10">
      <c r="A110" s="6" t="s">
        <v>163</v>
      </c>
      <c r="B110" s="7">
        <v>44670</v>
      </c>
      <c r="C110" s="6" t="s">
        <v>159</v>
      </c>
      <c r="D110" s="6" t="s">
        <v>0</v>
      </c>
      <c r="E110" s="6" t="s">
        <v>1</v>
      </c>
      <c r="F110" s="6">
        <v>7966</v>
      </c>
      <c r="G110" s="6">
        <v>50</v>
      </c>
      <c r="H110" s="12">
        <v>1179.9999480000001</v>
      </c>
      <c r="I110" s="6">
        <v>100</v>
      </c>
      <c r="J110" s="11">
        <f>Análises!F110</f>
        <v>24.423729933927078</v>
      </c>
    </row>
    <row r="111" spans="1:10">
      <c r="A111" s="6" t="s">
        <v>163</v>
      </c>
      <c r="B111" s="7">
        <v>44671</v>
      </c>
      <c r="C111" s="6" t="s">
        <v>159</v>
      </c>
      <c r="D111" s="6" t="s">
        <v>0</v>
      </c>
      <c r="E111" s="6" t="s">
        <v>1</v>
      </c>
      <c r="F111" s="6">
        <v>12785</v>
      </c>
      <c r="G111" s="6">
        <v>150</v>
      </c>
      <c r="H111" s="12">
        <v>4730.0000190000001</v>
      </c>
      <c r="I111" s="6">
        <v>150</v>
      </c>
      <c r="J111" s="11">
        <f>Análises!F111</f>
        <v>8.5137420336657303</v>
      </c>
    </row>
    <row r="112" spans="1:10">
      <c r="A112" s="6" t="s">
        <v>163</v>
      </c>
      <c r="B112" s="7">
        <v>44672</v>
      </c>
      <c r="C112" s="6" t="s">
        <v>159</v>
      </c>
      <c r="D112" s="6" t="s">
        <v>0</v>
      </c>
      <c r="E112" s="6" t="s">
        <v>1</v>
      </c>
      <c r="F112" s="6">
        <v>8213</v>
      </c>
      <c r="G112" s="6">
        <v>50</v>
      </c>
      <c r="H112" s="12">
        <v>1379.9999949999999</v>
      </c>
      <c r="I112" s="6">
        <v>100</v>
      </c>
      <c r="J112" s="11">
        <f>Análises!F112</f>
        <v>20.739130513547575</v>
      </c>
    </row>
    <row r="113" spans="1:10">
      <c r="A113" s="6" t="s">
        <v>163</v>
      </c>
      <c r="B113" s="7">
        <v>44673</v>
      </c>
      <c r="C113" s="6" t="s">
        <v>159</v>
      </c>
      <c r="D113" s="6" t="s">
        <v>0</v>
      </c>
      <c r="E113" s="6" t="s">
        <v>1</v>
      </c>
      <c r="F113" s="6">
        <v>12729</v>
      </c>
      <c r="G113" s="6">
        <v>200</v>
      </c>
      <c r="H113" s="12">
        <v>5779.9998520000008</v>
      </c>
      <c r="I113" s="6">
        <v>50</v>
      </c>
      <c r="J113" s="11">
        <f>Análises!F113</f>
        <v>1.5951557757929158</v>
      </c>
    </row>
    <row r="114" spans="1:10">
      <c r="A114" s="6" t="s">
        <v>163</v>
      </c>
      <c r="B114" s="7">
        <v>44674</v>
      </c>
      <c r="C114" s="6" t="s">
        <v>159</v>
      </c>
      <c r="D114" s="6" t="s">
        <v>0</v>
      </c>
      <c r="E114" s="6" t="s">
        <v>1</v>
      </c>
      <c r="F114" s="6">
        <v>2883</v>
      </c>
      <c r="G114" s="6">
        <v>50</v>
      </c>
      <c r="H114" s="12">
        <v>990.00001000000009</v>
      </c>
      <c r="I114" s="6">
        <v>100</v>
      </c>
      <c r="J114" s="11">
        <f>Análises!F114</f>
        <v>29.303029996939088</v>
      </c>
    </row>
    <row r="115" spans="1:10">
      <c r="A115" s="6" t="s">
        <v>163</v>
      </c>
      <c r="B115" s="7">
        <v>44675</v>
      </c>
      <c r="C115" s="6" t="s">
        <v>159</v>
      </c>
      <c r="D115" s="6" t="s">
        <v>0</v>
      </c>
      <c r="E115" s="6" t="s">
        <v>1</v>
      </c>
      <c r="F115" s="6">
        <v>5209</v>
      </c>
      <c r="G115" s="6">
        <v>50</v>
      </c>
      <c r="H115" s="12">
        <v>959.99997900000005</v>
      </c>
      <c r="I115" s="6">
        <v>100</v>
      </c>
      <c r="J115" s="11">
        <f>Análises!F115</f>
        <v>30.250000683593765</v>
      </c>
    </row>
    <row r="116" spans="1:10">
      <c r="A116" s="6" t="s">
        <v>163</v>
      </c>
      <c r="B116" s="7">
        <v>44676</v>
      </c>
      <c r="C116" s="6" t="s">
        <v>159</v>
      </c>
      <c r="D116" s="6" t="s">
        <v>0</v>
      </c>
      <c r="E116" s="6" t="s">
        <v>1</v>
      </c>
      <c r="F116" s="6">
        <v>13473</v>
      </c>
      <c r="G116" s="6">
        <v>150</v>
      </c>
      <c r="H116" s="12">
        <v>2619.999945</v>
      </c>
      <c r="I116" s="6">
        <v>150</v>
      </c>
      <c r="J116" s="11">
        <f>Análises!F116</f>
        <v>16.175572879639887</v>
      </c>
    </row>
    <row r="117" spans="1:10">
      <c r="A117" s="6" t="s">
        <v>163</v>
      </c>
      <c r="B117" s="7">
        <v>44677</v>
      </c>
      <c r="C117" s="6" t="s">
        <v>159</v>
      </c>
      <c r="D117" s="6" t="s">
        <v>0</v>
      </c>
      <c r="E117" s="6" t="s">
        <v>1</v>
      </c>
      <c r="F117" s="6">
        <v>4616</v>
      </c>
      <c r="G117" s="6">
        <v>50</v>
      </c>
      <c r="H117" s="12">
        <v>1360.000014</v>
      </c>
      <c r="I117" s="6">
        <v>50</v>
      </c>
      <c r="J117" s="11">
        <f>Análises!F117</f>
        <v>10.029411651167822</v>
      </c>
    </row>
    <row r="118" spans="1:10">
      <c r="A118" s="6" t="s">
        <v>163</v>
      </c>
      <c r="B118" s="7">
        <v>44678</v>
      </c>
      <c r="C118" s="6" t="s">
        <v>159</v>
      </c>
      <c r="D118" s="6" t="s">
        <v>0</v>
      </c>
      <c r="E118" s="6" t="s">
        <v>1</v>
      </c>
      <c r="F118" s="6">
        <v>56615</v>
      </c>
      <c r="G118" s="6">
        <v>600</v>
      </c>
      <c r="H118" s="12">
        <v>19880.000349999998</v>
      </c>
      <c r="I118" s="6">
        <v>100</v>
      </c>
      <c r="J118" s="11">
        <f>Análises!F118</f>
        <v>0.50905429938787716</v>
      </c>
    </row>
    <row r="119" spans="1:10">
      <c r="A119" s="6" t="s">
        <v>163</v>
      </c>
      <c r="B119" s="7">
        <v>44679</v>
      </c>
      <c r="C119" s="6" t="s">
        <v>159</v>
      </c>
      <c r="D119" s="6" t="s">
        <v>0</v>
      </c>
      <c r="E119" s="6" t="s">
        <v>1</v>
      </c>
      <c r="F119" s="6">
        <v>11735</v>
      </c>
      <c r="G119" s="6">
        <v>150</v>
      </c>
      <c r="H119" s="12">
        <v>4529.9999709999993</v>
      </c>
      <c r="I119" s="6">
        <v>100</v>
      </c>
      <c r="J119" s="11">
        <f>Análises!F119</f>
        <v>5.6225165986871941</v>
      </c>
    </row>
    <row r="120" spans="1:10">
      <c r="A120" s="6" t="s">
        <v>163</v>
      </c>
      <c r="B120" s="7">
        <v>44680</v>
      </c>
      <c r="C120" s="6" t="s">
        <v>159</v>
      </c>
      <c r="D120" s="6" t="s">
        <v>0</v>
      </c>
      <c r="E120" s="6" t="s">
        <v>1</v>
      </c>
      <c r="F120" s="6">
        <v>15910</v>
      </c>
      <c r="G120" s="6">
        <v>250</v>
      </c>
      <c r="H120" s="12">
        <v>6779.9998520000008</v>
      </c>
      <c r="I120" s="6">
        <v>50</v>
      </c>
      <c r="J120" s="11">
        <f>Análises!F120</f>
        <v>1.2123894288250197</v>
      </c>
    </row>
    <row r="121" spans="1:10">
      <c r="A121" s="6" t="s">
        <v>163</v>
      </c>
      <c r="B121" s="7">
        <v>44681</v>
      </c>
      <c r="C121" s="6" t="s">
        <v>159</v>
      </c>
      <c r="D121" s="6" t="s">
        <v>0</v>
      </c>
      <c r="E121" s="6" t="s">
        <v>1</v>
      </c>
      <c r="F121" s="6">
        <v>9388</v>
      </c>
      <c r="G121" s="6">
        <v>100</v>
      </c>
      <c r="H121" s="12">
        <v>3140.0001050000001</v>
      </c>
      <c r="I121" s="6">
        <v>50</v>
      </c>
      <c r="J121" s="11">
        <f>Análises!F121</f>
        <v>3.7770699039514843</v>
      </c>
    </row>
    <row r="122" spans="1:10">
      <c r="A122" s="6" t="s">
        <v>163</v>
      </c>
      <c r="B122" s="7">
        <v>44682</v>
      </c>
      <c r="C122" s="6" t="s">
        <v>159</v>
      </c>
      <c r="D122" s="6" t="s">
        <v>0</v>
      </c>
      <c r="E122" s="6" t="s">
        <v>1</v>
      </c>
      <c r="F122" s="6">
        <v>17954</v>
      </c>
      <c r="G122" s="6">
        <v>300</v>
      </c>
      <c r="H122" s="12">
        <v>7540.0001999999995</v>
      </c>
      <c r="I122" s="6">
        <v>150</v>
      </c>
      <c r="J122" s="11">
        <f>Análises!F122</f>
        <v>4.9681696029663236</v>
      </c>
    </row>
    <row r="123" spans="1:10">
      <c r="A123" s="6" t="s">
        <v>163</v>
      </c>
      <c r="B123" s="7">
        <v>44683</v>
      </c>
      <c r="C123" s="6" t="s">
        <v>159</v>
      </c>
      <c r="D123" s="6" t="s">
        <v>0</v>
      </c>
      <c r="E123" s="6" t="s">
        <v>1</v>
      </c>
      <c r="F123" s="6">
        <v>7629</v>
      </c>
      <c r="G123" s="6">
        <v>50</v>
      </c>
      <c r="H123" s="12">
        <v>720.00002900000004</v>
      </c>
      <c r="I123" s="6">
        <v>100</v>
      </c>
      <c r="J123" s="11">
        <f>Análises!F123</f>
        <v>40.666664988425993</v>
      </c>
    </row>
    <row r="124" spans="1:10">
      <c r="A124" s="6" t="s">
        <v>163</v>
      </c>
      <c r="B124" s="7">
        <v>44684</v>
      </c>
      <c r="C124" s="6" t="s">
        <v>159</v>
      </c>
      <c r="D124" s="6" t="s">
        <v>0</v>
      </c>
      <c r="E124" s="6" t="s">
        <v>1</v>
      </c>
      <c r="F124" s="6">
        <v>7453</v>
      </c>
      <c r="G124" s="6">
        <v>50</v>
      </c>
      <c r="H124" s="12">
        <v>1679.9999480000001</v>
      </c>
      <c r="I124" s="6">
        <v>100</v>
      </c>
      <c r="J124" s="11">
        <f>Análises!F124</f>
        <v>16.857143409863962</v>
      </c>
    </row>
    <row r="125" spans="1:10">
      <c r="A125" s="6" t="s">
        <v>163</v>
      </c>
      <c r="B125" s="7">
        <v>44685</v>
      </c>
      <c r="C125" s="6" t="s">
        <v>159</v>
      </c>
      <c r="D125" s="6" t="s">
        <v>0</v>
      </c>
      <c r="E125" s="6" t="s">
        <v>1</v>
      </c>
      <c r="F125" s="6">
        <v>6184</v>
      </c>
      <c r="G125" s="6">
        <v>100</v>
      </c>
      <c r="H125" s="12">
        <v>2750</v>
      </c>
      <c r="I125" s="6">
        <v>100</v>
      </c>
      <c r="J125" s="11">
        <f>Análises!F125</f>
        <v>9.9090909090909083</v>
      </c>
    </row>
    <row r="126" spans="1:10">
      <c r="A126" s="6" t="s">
        <v>163</v>
      </c>
      <c r="B126" s="7">
        <v>44686</v>
      </c>
      <c r="C126" s="6" t="s">
        <v>159</v>
      </c>
      <c r="D126" s="6" t="s">
        <v>0</v>
      </c>
      <c r="E126" s="6" t="s">
        <v>1</v>
      </c>
      <c r="F126" s="6">
        <v>9134</v>
      </c>
      <c r="G126" s="6">
        <v>150</v>
      </c>
      <c r="H126" s="12">
        <v>4180.0000669999999</v>
      </c>
      <c r="I126" s="6">
        <v>100</v>
      </c>
      <c r="J126" s="11">
        <f>Análises!F126</f>
        <v>6.1770333777843929</v>
      </c>
    </row>
    <row r="127" spans="1:10">
      <c r="A127" s="6" t="s">
        <v>163</v>
      </c>
      <c r="B127" s="7">
        <v>44687</v>
      </c>
      <c r="C127" s="6" t="s">
        <v>159</v>
      </c>
      <c r="D127" s="6" t="s">
        <v>0</v>
      </c>
      <c r="E127" s="6" t="s">
        <v>1</v>
      </c>
      <c r="F127" s="6">
        <v>3385</v>
      </c>
      <c r="G127" s="6">
        <v>50</v>
      </c>
      <c r="H127" s="12">
        <v>1440.000057</v>
      </c>
      <c r="I127" s="6">
        <v>100</v>
      </c>
      <c r="J127" s="11">
        <f>Análises!F127</f>
        <v>19.833332508680588</v>
      </c>
    </row>
    <row r="128" spans="1:10">
      <c r="A128" s="6" t="s">
        <v>163</v>
      </c>
      <c r="B128" s="7">
        <v>44688</v>
      </c>
      <c r="C128" s="6" t="s">
        <v>159</v>
      </c>
      <c r="D128" s="6" t="s">
        <v>0</v>
      </c>
      <c r="E128" s="6" t="s">
        <v>1</v>
      </c>
      <c r="F128" s="6">
        <v>6142</v>
      </c>
      <c r="G128" s="6">
        <v>50</v>
      </c>
      <c r="H128" s="12">
        <v>1330.000043</v>
      </c>
      <c r="I128" s="6">
        <v>50</v>
      </c>
      <c r="J128" s="11">
        <f>Análises!F128</f>
        <v>10.278195124088429</v>
      </c>
    </row>
    <row r="129" spans="1:10">
      <c r="A129" s="6" t="s">
        <v>163</v>
      </c>
      <c r="B129" s="7">
        <v>44689</v>
      </c>
      <c r="C129" s="6" t="s">
        <v>159</v>
      </c>
      <c r="D129" s="6" t="s">
        <v>0</v>
      </c>
      <c r="E129" s="6" t="s">
        <v>1</v>
      </c>
      <c r="F129" s="6">
        <v>9142</v>
      </c>
      <c r="G129" s="6">
        <v>150</v>
      </c>
      <c r="H129" s="12">
        <v>3749.9998809999997</v>
      </c>
      <c r="I129" s="6">
        <v>50</v>
      </c>
      <c r="J129" s="11">
        <f>Análises!F129</f>
        <v>3.0000001269333376</v>
      </c>
    </row>
    <row r="130" spans="1:10">
      <c r="A130" s="6" t="s">
        <v>163</v>
      </c>
      <c r="B130" s="7">
        <v>44690</v>
      </c>
      <c r="C130" s="6" t="s">
        <v>159</v>
      </c>
      <c r="D130" s="6" t="s">
        <v>0</v>
      </c>
      <c r="E130" s="6" t="s">
        <v>1</v>
      </c>
      <c r="F130" s="6">
        <v>5475</v>
      </c>
      <c r="G130" s="6">
        <v>100</v>
      </c>
      <c r="H130" s="12">
        <v>2730.0000190000001</v>
      </c>
      <c r="I130" s="6">
        <v>100</v>
      </c>
      <c r="J130" s="11">
        <f>Análises!F130</f>
        <v>9.9890109125306932</v>
      </c>
    </row>
    <row r="131" spans="1:10">
      <c r="A131" s="6" t="s">
        <v>163</v>
      </c>
      <c r="B131" s="7">
        <v>44691</v>
      </c>
      <c r="C131" s="6" t="s">
        <v>159</v>
      </c>
      <c r="D131" s="6" t="s">
        <v>0</v>
      </c>
      <c r="E131" s="6" t="s">
        <v>1</v>
      </c>
      <c r="F131" s="6">
        <v>4012</v>
      </c>
      <c r="G131" s="6">
        <v>50</v>
      </c>
      <c r="H131" s="12">
        <v>1570.0000519999999</v>
      </c>
      <c r="I131" s="6">
        <v>50</v>
      </c>
      <c r="J131" s="11">
        <f>Análises!F131</f>
        <v>8.5541398109456885</v>
      </c>
    </row>
    <row r="132" spans="1:10">
      <c r="A132" s="6" t="s">
        <v>163</v>
      </c>
      <c r="B132" s="7">
        <v>44692</v>
      </c>
      <c r="C132" s="6" t="s">
        <v>159</v>
      </c>
      <c r="D132" s="6" t="s">
        <v>0</v>
      </c>
      <c r="E132" s="6" t="s">
        <v>1</v>
      </c>
      <c r="F132" s="6">
        <v>12396</v>
      </c>
      <c r="G132" s="6">
        <v>100</v>
      </c>
      <c r="H132" s="12">
        <v>3210.0000380000001</v>
      </c>
      <c r="I132" s="6">
        <v>150</v>
      </c>
      <c r="J132" s="11">
        <f>Análises!F132</f>
        <v>13.01869142283169</v>
      </c>
    </row>
    <row r="133" spans="1:10">
      <c r="A133" s="6" t="s">
        <v>163</v>
      </c>
      <c r="B133" s="7">
        <v>44693</v>
      </c>
      <c r="C133" s="6" t="s">
        <v>159</v>
      </c>
      <c r="D133" s="6" t="s">
        <v>0</v>
      </c>
      <c r="E133" s="6" t="s">
        <v>1</v>
      </c>
      <c r="F133" s="6">
        <v>15720</v>
      </c>
      <c r="G133" s="6">
        <v>50</v>
      </c>
      <c r="H133" s="12">
        <v>1379.9999949999999</v>
      </c>
      <c r="I133" s="6">
        <v>50</v>
      </c>
      <c r="J133" s="11">
        <f>Análises!F133</f>
        <v>9.8695652567737877</v>
      </c>
    </row>
    <row r="134" spans="1:10">
      <c r="A134" s="6" t="s">
        <v>163</v>
      </c>
      <c r="B134" s="7">
        <v>44694</v>
      </c>
      <c r="C134" s="6" t="s">
        <v>159</v>
      </c>
      <c r="D134" s="6" t="s">
        <v>0</v>
      </c>
      <c r="E134" s="6" t="s">
        <v>1</v>
      </c>
      <c r="F134" s="6">
        <v>7780</v>
      </c>
      <c r="G134" s="6">
        <v>150</v>
      </c>
      <c r="H134" s="12">
        <v>4329.9999239999997</v>
      </c>
      <c r="I134" s="6">
        <v>200</v>
      </c>
      <c r="J134" s="11">
        <f>Análises!F134</f>
        <v>12.856813176239678</v>
      </c>
    </row>
    <row r="135" spans="1:10">
      <c r="A135" s="6" t="s">
        <v>164</v>
      </c>
      <c r="B135" s="7">
        <v>44695</v>
      </c>
      <c r="C135" s="6" t="s">
        <v>159</v>
      </c>
      <c r="D135" s="6" t="s">
        <v>2</v>
      </c>
      <c r="E135" s="6" t="s">
        <v>5</v>
      </c>
      <c r="F135" s="6">
        <v>5024</v>
      </c>
      <c r="G135" s="6">
        <v>50</v>
      </c>
      <c r="H135" s="12">
        <v>1409.999967</v>
      </c>
      <c r="I135" s="6">
        <v>100</v>
      </c>
      <c r="J135" s="11">
        <f>Análises!F135</f>
        <v>20.276596242643741</v>
      </c>
    </row>
    <row r="136" spans="1:10">
      <c r="A136" s="6" t="s">
        <v>164</v>
      </c>
      <c r="B136" s="7">
        <v>44696</v>
      </c>
      <c r="C136" s="6" t="s">
        <v>159</v>
      </c>
      <c r="D136" s="6" t="s">
        <v>2</v>
      </c>
      <c r="E136" s="6" t="s">
        <v>5</v>
      </c>
      <c r="F136" s="6">
        <v>104648</v>
      </c>
      <c r="G136" s="6">
        <v>1200</v>
      </c>
      <c r="H136" s="12">
        <v>33330.000039999999</v>
      </c>
      <c r="I136" s="6">
        <v>300</v>
      </c>
      <c r="J136" s="11">
        <f>Análises!F136</f>
        <v>1.7002700237620523</v>
      </c>
    </row>
    <row r="137" spans="1:10">
      <c r="A137" s="6" t="s">
        <v>164</v>
      </c>
      <c r="B137" s="7">
        <v>44697</v>
      </c>
      <c r="C137" s="6" t="s">
        <v>159</v>
      </c>
      <c r="D137" s="6" t="s">
        <v>2</v>
      </c>
      <c r="E137" s="6" t="s">
        <v>5</v>
      </c>
      <c r="F137" s="6">
        <v>8504</v>
      </c>
      <c r="G137" s="6">
        <v>150</v>
      </c>
      <c r="H137" s="12">
        <v>3340.0000930000001</v>
      </c>
      <c r="I137" s="6">
        <v>100</v>
      </c>
      <c r="J137" s="11">
        <f>Análises!F137</f>
        <v>7.982035678045114</v>
      </c>
    </row>
    <row r="138" spans="1:10">
      <c r="A138" s="6" t="s">
        <v>164</v>
      </c>
      <c r="B138" s="7">
        <v>44698</v>
      </c>
      <c r="C138" s="6" t="s">
        <v>159</v>
      </c>
      <c r="D138" s="6" t="s">
        <v>2</v>
      </c>
      <c r="E138" s="6" t="s">
        <v>5</v>
      </c>
      <c r="F138" s="6">
        <v>20277</v>
      </c>
      <c r="G138" s="6">
        <v>300</v>
      </c>
      <c r="H138" s="12">
        <v>8050.0000719999998</v>
      </c>
      <c r="I138" s="6">
        <v>50</v>
      </c>
      <c r="J138" s="11">
        <f>Análises!F138</f>
        <v>0.86335402060105726</v>
      </c>
    </row>
    <row r="139" spans="1:10">
      <c r="A139" s="6" t="s">
        <v>164</v>
      </c>
      <c r="B139" s="7">
        <v>44699</v>
      </c>
      <c r="C139" s="6" t="s">
        <v>159</v>
      </c>
      <c r="D139" s="6" t="s">
        <v>2</v>
      </c>
      <c r="E139" s="6" t="s">
        <v>5</v>
      </c>
      <c r="F139" s="6">
        <v>12403</v>
      </c>
      <c r="G139" s="6">
        <v>200</v>
      </c>
      <c r="H139" s="12">
        <v>5210.0000380000001</v>
      </c>
      <c r="I139" s="6">
        <v>100</v>
      </c>
      <c r="J139" s="11">
        <f>Análises!F139</f>
        <v>4.7581573476372405</v>
      </c>
    </row>
    <row r="140" spans="1:10">
      <c r="A140" s="6" t="s">
        <v>164</v>
      </c>
      <c r="B140" s="7">
        <v>44700</v>
      </c>
      <c r="C140" s="6" t="s">
        <v>159</v>
      </c>
      <c r="D140" s="6" t="s">
        <v>2</v>
      </c>
      <c r="E140" s="6" t="s">
        <v>5</v>
      </c>
      <c r="F140" s="6">
        <v>3010</v>
      </c>
      <c r="G140" s="6">
        <v>50</v>
      </c>
      <c r="H140" s="12">
        <v>860.00001400000008</v>
      </c>
      <c r="I140" s="6">
        <v>100</v>
      </c>
      <c r="J140" s="11">
        <f>Análises!F140</f>
        <v>33.883720362358034</v>
      </c>
    </row>
    <row r="141" spans="1:10">
      <c r="A141" s="6" t="s">
        <v>164</v>
      </c>
      <c r="B141" s="7">
        <v>44701</v>
      </c>
      <c r="C141" s="6" t="s">
        <v>159</v>
      </c>
      <c r="D141" s="6" t="s">
        <v>2</v>
      </c>
      <c r="E141" s="6" t="s">
        <v>5</v>
      </c>
      <c r="F141" s="6">
        <v>4868</v>
      </c>
      <c r="G141" s="6">
        <v>100</v>
      </c>
      <c r="H141" s="12">
        <v>2420.0000759999998</v>
      </c>
      <c r="I141" s="6">
        <v>50</v>
      </c>
      <c r="J141" s="11">
        <f>Análises!F141</f>
        <v>5.1983469127791881</v>
      </c>
    </row>
    <row r="142" spans="1:10">
      <c r="A142" s="6" t="s">
        <v>164</v>
      </c>
      <c r="B142" s="7">
        <v>44702</v>
      </c>
      <c r="C142" s="6" t="s">
        <v>159</v>
      </c>
      <c r="D142" s="6" t="s">
        <v>2</v>
      </c>
      <c r="E142" s="6" t="s">
        <v>5</v>
      </c>
      <c r="F142" s="6">
        <v>6585</v>
      </c>
      <c r="G142" s="6">
        <v>100</v>
      </c>
      <c r="H142" s="12">
        <v>2950.0000480000003</v>
      </c>
      <c r="I142" s="6">
        <v>50</v>
      </c>
      <c r="J142" s="11">
        <f>Análises!F142</f>
        <v>4.0847456799770194</v>
      </c>
    </row>
    <row r="143" spans="1:10">
      <c r="A143" s="6" t="s">
        <v>164</v>
      </c>
      <c r="B143" s="7">
        <v>44703</v>
      </c>
      <c r="C143" s="6" t="s">
        <v>159</v>
      </c>
      <c r="D143" s="6" t="s">
        <v>2</v>
      </c>
      <c r="E143" s="6" t="s">
        <v>5</v>
      </c>
      <c r="F143" s="6">
        <v>10164</v>
      </c>
      <c r="G143" s="6">
        <v>100</v>
      </c>
      <c r="H143" s="12">
        <v>3720.0000289999998</v>
      </c>
      <c r="I143" s="6">
        <v>100</v>
      </c>
      <c r="J143" s="11">
        <f>Análises!F143</f>
        <v>7.0645160661637192</v>
      </c>
    </row>
    <row r="144" spans="1:10">
      <c r="A144" s="6" t="s">
        <v>164</v>
      </c>
      <c r="B144" s="7">
        <v>44704</v>
      </c>
      <c r="C144" s="6" t="s">
        <v>159</v>
      </c>
      <c r="D144" s="6" t="s">
        <v>2</v>
      </c>
      <c r="E144" s="6" t="s">
        <v>5</v>
      </c>
      <c r="F144" s="6">
        <v>11182</v>
      </c>
      <c r="G144" s="6">
        <v>200</v>
      </c>
      <c r="H144" s="12">
        <v>4449.9998089999999</v>
      </c>
      <c r="I144" s="6">
        <v>50</v>
      </c>
      <c r="J144" s="11">
        <f>Análises!F144</f>
        <v>2.3707866615326409</v>
      </c>
    </row>
    <row r="145" spans="1:10">
      <c r="A145" s="6" t="s">
        <v>164</v>
      </c>
      <c r="B145" s="7">
        <v>44705</v>
      </c>
      <c r="C145" s="6" t="s">
        <v>159</v>
      </c>
      <c r="D145" s="6" t="s">
        <v>2</v>
      </c>
      <c r="E145" s="6" t="s">
        <v>5</v>
      </c>
      <c r="F145" s="6">
        <v>41785</v>
      </c>
      <c r="G145" s="6">
        <v>700</v>
      </c>
      <c r="H145" s="12">
        <v>19100.000380000001</v>
      </c>
      <c r="I145" s="6">
        <v>50</v>
      </c>
      <c r="J145" s="11">
        <f>Análises!F145</f>
        <v>-0.21465970148844579</v>
      </c>
    </row>
    <row r="146" spans="1:10">
      <c r="A146" s="6" t="s">
        <v>164</v>
      </c>
      <c r="B146" s="7">
        <v>44706</v>
      </c>
      <c r="C146" s="6" t="s">
        <v>159</v>
      </c>
      <c r="D146" s="6" t="s">
        <v>2</v>
      </c>
      <c r="E146" s="6" t="s">
        <v>5</v>
      </c>
      <c r="F146" s="6">
        <v>5602</v>
      </c>
      <c r="G146" s="6">
        <v>50</v>
      </c>
      <c r="H146" s="12">
        <v>1580.000043</v>
      </c>
      <c r="I146" s="6">
        <v>50</v>
      </c>
      <c r="J146" s="11">
        <f>Análises!F146</f>
        <v>8.4936706277039011</v>
      </c>
    </row>
    <row r="147" spans="1:10">
      <c r="A147" s="6" t="s">
        <v>164</v>
      </c>
      <c r="B147" s="7">
        <v>44707</v>
      </c>
      <c r="C147" s="6" t="s">
        <v>159</v>
      </c>
      <c r="D147" s="6" t="s">
        <v>2</v>
      </c>
      <c r="E147" s="6" t="s">
        <v>5</v>
      </c>
      <c r="F147" s="6">
        <v>112460</v>
      </c>
      <c r="G147" s="6">
        <v>1250</v>
      </c>
      <c r="H147" s="12">
        <v>41290.000679999997</v>
      </c>
      <c r="I147" s="6">
        <v>50</v>
      </c>
      <c r="J147" s="11">
        <f>Análises!F147</f>
        <v>-0.63671591782594272</v>
      </c>
    </row>
    <row r="148" spans="1:10">
      <c r="A148" s="6" t="s">
        <v>164</v>
      </c>
      <c r="B148" s="7">
        <v>44708</v>
      </c>
      <c r="C148" s="6" t="s">
        <v>159</v>
      </c>
      <c r="D148" s="6" t="s">
        <v>2</v>
      </c>
      <c r="E148" s="6" t="s">
        <v>5</v>
      </c>
      <c r="F148" s="6">
        <v>14670</v>
      </c>
      <c r="G148" s="6">
        <v>350</v>
      </c>
      <c r="H148" s="12">
        <v>9410.0003240000005</v>
      </c>
      <c r="I148" s="6">
        <v>50</v>
      </c>
      <c r="J148" s="11">
        <f>Análises!F148</f>
        <v>0.59404882928035907</v>
      </c>
    </row>
    <row r="149" spans="1:10">
      <c r="A149" s="6" t="s">
        <v>164</v>
      </c>
      <c r="B149" s="7">
        <v>44709</v>
      </c>
      <c r="C149" s="6" t="s">
        <v>159</v>
      </c>
      <c r="D149" s="6" t="s">
        <v>2</v>
      </c>
      <c r="E149" s="6" t="s">
        <v>5</v>
      </c>
      <c r="F149" s="6">
        <v>89527</v>
      </c>
      <c r="G149" s="6">
        <v>1200</v>
      </c>
      <c r="H149" s="12">
        <v>32289.999960000005</v>
      </c>
      <c r="I149" s="6">
        <v>50</v>
      </c>
      <c r="J149" s="11">
        <f>Análises!F149</f>
        <v>-0.53545989412878281</v>
      </c>
    </row>
    <row r="150" spans="1:10">
      <c r="A150" s="6" t="s">
        <v>164</v>
      </c>
      <c r="B150" s="7">
        <v>44710</v>
      </c>
      <c r="C150" s="6" t="s">
        <v>159</v>
      </c>
      <c r="D150" s="6" t="s">
        <v>2</v>
      </c>
      <c r="E150" s="6" t="s">
        <v>5</v>
      </c>
      <c r="F150" s="6">
        <v>7116</v>
      </c>
      <c r="G150" s="6">
        <v>100</v>
      </c>
      <c r="H150" s="12">
        <v>1730.0000190000001</v>
      </c>
      <c r="I150" s="6">
        <v>100</v>
      </c>
      <c r="J150" s="11">
        <f>Análises!F150</f>
        <v>16.341040271977015</v>
      </c>
    </row>
    <row r="151" spans="1:10">
      <c r="A151" s="6" t="s">
        <v>164</v>
      </c>
      <c r="B151" s="7">
        <v>44711</v>
      </c>
      <c r="C151" s="6" t="s">
        <v>159</v>
      </c>
      <c r="D151" s="6" t="s">
        <v>2</v>
      </c>
      <c r="E151" s="6" t="s">
        <v>5</v>
      </c>
      <c r="F151" s="6">
        <v>9730</v>
      </c>
      <c r="G151" s="6">
        <v>50</v>
      </c>
      <c r="H151" s="12">
        <v>1379.9999949999999</v>
      </c>
      <c r="I151" s="6">
        <v>50</v>
      </c>
      <c r="J151" s="11">
        <f>Análises!F151</f>
        <v>9.8695652567737877</v>
      </c>
    </row>
    <row r="152" spans="1:10">
      <c r="A152" s="6" t="s">
        <v>164</v>
      </c>
      <c r="B152" s="7">
        <v>44712</v>
      </c>
      <c r="C152" s="6" t="s">
        <v>159</v>
      </c>
      <c r="D152" s="6" t="s">
        <v>2</v>
      </c>
      <c r="E152" s="6" t="s">
        <v>5</v>
      </c>
      <c r="F152" s="6">
        <v>18234</v>
      </c>
      <c r="G152" s="6">
        <v>300</v>
      </c>
      <c r="H152" s="12">
        <v>7810.0000620000001</v>
      </c>
      <c r="I152" s="6">
        <v>50</v>
      </c>
      <c r="J152" s="11">
        <f>Análises!F152</f>
        <v>0.92061458142405839</v>
      </c>
    </row>
    <row r="153" spans="1:10">
      <c r="A153" s="6" t="s">
        <v>164</v>
      </c>
      <c r="B153" s="7">
        <v>44713</v>
      </c>
      <c r="C153" s="6" t="s">
        <v>159</v>
      </c>
      <c r="D153" s="6" t="s">
        <v>2</v>
      </c>
      <c r="E153" s="6" t="s">
        <v>5</v>
      </c>
      <c r="F153" s="6">
        <v>73676</v>
      </c>
      <c r="G153" s="6">
        <v>1000</v>
      </c>
      <c r="H153" s="12">
        <v>28500</v>
      </c>
      <c r="I153" s="6">
        <v>50</v>
      </c>
      <c r="J153" s="11">
        <f>Análises!F153</f>
        <v>-0.47368421052631576</v>
      </c>
    </row>
    <row r="154" spans="1:10">
      <c r="A154" s="6" t="s">
        <v>164</v>
      </c>
      <c r="B154" s="7">
        <v>44714</v>
      </c>
      <c r="C154" s="6" t="s">
        <v>159</v>
      </c>
      <c r="D154" s="6" t="s">
        <v>2</v>
      </c>
      <c r="E154" s="6" t="s">
        <v>5</v>
      </c>
      <c r="F154" s="6">
        <v>18421</v>
      </c>
      <c r="G154" s="6">
        <v>350</v>
      </c>
      <c r="H154" s="12">
        <v>10079.99992</v>
      </c>
      <c r="I154" s="6">
        <v>50</v>
      </c>
      <c r="J154" s="11">
        <f>Análises!F154</f>
        <v>0.48809524990551784</v>
      </c>
    </row>
    <row r="155" spans="1:10">
      <c r="A155" s="6" t="s">
        <v>164</v>
      </c>
      <c r="B155" s="7">
        <v>44715</v>
      </c>
      <c r="C155" s="6" t="s">
        <v>159</v>
      </c>
      <c r="D155" s="6" t="s">
        <v>2</v>
      </c>
      <c r="E155" s="6" t="s">
        <v>5</v>
      </c>
      <c r="F155" s="6">
        <v>164754</v>
      </c>
      <c r="G155" s="6">
        <v>2450</v>
      </c>
      <c r="H155" s="12">
        <v>67979.999779999998</v>
      </c>
      <c r="I155" s="6">
        <v>150</v>
      </c>
      <c r="J155" s="11">
        <f>Análises!F155</f>
        <v>-0.33804059803425907</v>
      </c>
    </row>
    <row r="156" spans="1:10">
      <c r="A156" s="6" t="s">
        <v>164</v>
      </c>
      <c r="B156" s="7">
        <v>44716</v>
      </c>
      <c r="C156" s="6" t="s">
        <v>159</v>
      </c>
      <c r="D156" s="6" t="s">
        <v>2</v>
      </c>
      <c r="E156" s="6" t="s">
        <v>5</v>
      </c>
      <c r="F156" s="6">
        <v>7449</v>
      </c>
      <c r="G156" s="6">
        <v>50</v>
      </c>
      <c r="H156" s="12">
        <v>1639.999986</v>
      </c>
      <c r="I156" s="6">
        <v>100</v>
      </c>
      <c r="J156" s="11">
        <f>Análises!F156</f>
        <v>17.292683082986319</v>
      </c>
    </row>
    <row r="157" spans="1:10">
      <c r="A157" s="6" t="s">
        <v>164</v>
      </c>
      <c r="B157" s="7">
        <v>44717</v>
      </c>
      <c r="C157" s="6" t="s">
        <v>159</v>
      </c>
      <c r="D157" s="6" t="s">
        <v>2</v>
      </c>
      <c r="E157" s="6" t="s">
        <v>5</v>
      </c>
      <c r="F157" s="6">
        <v>6424</v>
      </c>
      <c r="G157" s="6">
        <v>50</v>
      </c>
      <c r="H157" s="12">
        <v>529.99997099999996</v>
      </c>
      <c r="I157" s="6">
        <v>50</v>
      </c>
      <c r="J157" s="11">
        <f>Análises!F157</f>
        <v>27.301888341046723</v>
      </c>
    </row>
    <row r="158" spans="1:10">
      <c r="A158" s="6" t="s">
        <v>164</v>
      </c>
      <c r="B158" s="7">
        <v>44718</v>
      </c>
      <c r="C158" s="6" t="s">
        <v>159</v>
      </c>
      <c r="D158" s="6" t="s">
        <v>2</v>
      </c>
      <c r="E158" s="6" t="s">
        <v>5</v>
      </c>
      <c r="F158" s="6">
        <v>10186</v>
      </c>
      <c r="G158" s="6">
        <v>50</v>
      </c>
      <c r="H158" s="12">
        <v>1230.0000190000001</v>
      </c>
      <c r="I158" s="6">
        <v>100</v>
      </c>
      <c r="J158" s="11">
        <f>Análises!F158</f>
        <v>23.390243525679164</v>
      </c>
    </row>
    <row r="159" spans="1:10">
      <c r="A159" s="6" t="s">
        <v>164</v>
      </c>
      <c r="B159" s="7">
        <v>44719</v>
      </c>
      <c r="C159" s="6" t="s">
        <v>159</v>
      </c>
      <c r="D159" s="6" t="s">
        <v>2</v>
      </c>
      <c r="E159" s="6" t="s">
        <v>5</v>
      </c>
      <c r="F159" s="6">
        <v>29035</v>
      </c>
      <c r="G159" s="6">
        <v>350</v>
      </c>
      <c r="H159" s="12">
        <v>8910.000086</v>
      </c>
      <c r="I159" s="6">
        <v>200</v>
      </c>
      <c r="J159" s="11">
        <f>Análises!F159</f>
        <v>5.7340066690095881</v>
      </c>
    </row>
    <row r="160" spans="1:10">
      <c r="A160" s="6" t="s">
        <v>164</v>
      </c>
      <c r="B160" s="7">
        <v>44720</v>
      </c>
      <c r="C160" s="6" t="s">
        <v>159</v>
      </c>
      <c r="D160" s="6" t="s">
        <v>2</v>
      </c>
      <c r="E160" s="6" t="s">
        <v>5</v>
      </c>
      <c r="F160" s="6">
        <v>6532</v>
      </c>
      <c r="G160" s="6">
        <v>50</v>
      </c>
      <c r="H160" s="12">
        <v>1610.000014</v>
      </c>
      <c r="I160" s="6">
        <v>50</v>
      </c>
      <c r="J160" s="11">
        <f>Análises!F160</f>
        <v>8.3167701053200123</v>
      </c>
    </row>
    <row r="161" spans="1:10">
      <c r="A161" s="6" t="s">
        <v>164</v>
      </c>
      <c r="B161" s="7">
        <v>44721</v>
      </c>
      <c r="C161" s="6" t="s">
        <v>159</v>
      </c>
      <c r="D161" s="6" t="s">
        <v>2</v>
      </c>
      <c r="E161" s="6" t="s">
        <v>5</v>
      </c>
      <c r="F161" s="6">
        <v>5912</v>
      </c>
      <c r="G161" s="6">
        <v>50</v>
      </c>
      <c r="H161" s="12">
        <v>1559.999943</v>
      </c>
      <c r="I161" s="6">
        <v>100</v>
      </c>
      <c r="J161" s="11">
        <f>Análises!F161</f>
        <v>18.230769933431979</v>
      </c>
    </row>
    <row r="162" spans="1:10">
      <c r="A162" s="6" t="s">
        <v>164</v>
      </c>
      <c r="B162" s="7">
        <v>44722</v>
      </c>
      <c r="C162" s="6" t="s">
        <v>159</v>
      </c>
      <c r="D162" s="6" t="s">
        <v>2</v>
      </c>
      <c r="E162" s="6" t="s">
        <v>5</v>
      </c>
      <c r="F162" s="6">
        <v>4621</v>
      </c>
      <c r="G162" s="6">
        <v>100</v>
      </c>
      <c r="H162" s="12">
        <v>3250</v>
      </c>
      <c r="I162" s="6">
        <v>100</v>
      </c>
      <c r="J162" s="11">
        <f>Análises!F162</f>
        <v>8.2307692307692299</v>
      </c>
    </row>
    <row r="163" spans="1:10">
      <c r="A163" s="6" t="s">
        <v>164</v>
      </c>
      <c r="B163" s="7">
        <v>44723</v>
      </c>
      <c r="C163" s="6" t="s">
        <v>159</v>
      </c>
      <c r="D163" s="6" t="s">
        <v>2</v>
      </c>
      <c r="E163" s="6" t="s">
        <v>5</v>
      </c>
      <c r="F163" s="6">
        <v>5775</v>
      </c>
      <c r="G163" s="6">
        <v>50</v>
      </c>
      <c r="H163" s="12">
        <v>1580.000043</v>
      </c>
      <c r="I163" s="6">
        <v>100</v>
      </c>
      <c r="J163" s="11">
        <f>Análises!F163</f>
        <v>17.987341255407802</v>
      </c>
    </row>
    <row r="164" spans="1:10">
      <c r="A164" s="6" t="s">
        <v>164</v>
      </c>
      <c r="B164" s="7">
        <v>44724</v>
      </c>
      <c r="C164" s="6" t="s">
        <v>159</v>
      </c>
      <c r="D164" s="6" t="s">
        <v>2</v>
      </c>
      <c r="E164" s="6" t="s">
        <v>5</v>
      </c>
      <c r="F164" s="6">
        <v>9297</v>
      </c>
      <c r="G164" s="6">
        <v>100</v>
      </c>
      <c r="H164" s="12">
        <v>2619.9998860000001</v>
      </c>
      <c r="I164" s="6">
        <v>150</v>
      </c>
      <c r="J164" s="11">
        <f>Análises!F164</f>
        <v>16.175573266418073</v>
      </c>
    </row>
    <row r="165" spans="1:10">
      <c r="A165" s="6" t="s">
        <v>164</v>
      </c>
      <c r="B165" s="7">
        <v>44725</v>
      </c>
      <c r="C165" s="6" t="s">
        <v>159</v>
      </c>
      <c r="D165" s="6" t="s">
        <v>2</v>
      </c>
      <c r="E165" s="6" t="s">
        <v>5</v>
      </c>
      <c r="F165" s="6">
        <v>2563</v>
      </c>
      <c r="G165" s="6">
        <v>50</v>
      </c>
      <c r="H165" s="12">
        <v>1480.0000190000001</v>
      </c>
      <c r="I165" s="6">
        <v>50</v>
      </c>
      <c r="J165" s="11">
        <f>Análises!F165</f>
        <v>9.1351350050219153</v>
      </c>
    </row>
    <row r="166" spans="1:10">
      <c r="A166" s="6" t="s">
        <v>164</v>
      </c>
      <c r="B166" s="7">
        <v>44726</v>
      </c>
      <c r="C166" s="6" t="s">
        <v>159</v>
      </c>
      <c r="D166" s="6" t="s">
        <v>2</v>
      </c>
      <c r="E166" s="6" t="s">
        <v>5</v>
      </c>
      <c r="F166" s="6">
        <v>2189</v>
      </c>
      <c r="G166" s="6">
        <v>50</v>
      </c>
      <c r="H166" s="12">
        <v>409.99999599999995</v>
      </c>
      <c r="I166" s="6">
        <v>50</v>
      </c>
      <c r="J166" s="11">
        <f>Análises!F166</f>
        <v>35.585366210588944</v>
      </c>
    </row>
    <row r="167" spans="1:10">
      <c r="A167" s="6" t="s">
        <v>164</v>
      </c>
      <c r="B167" s="7">
        <v>44727</v>
      </c>
      <c r="C167" s="6" t="s">
        <v>159</v>
      </c>
      <c r="D167" s="6" t="s">
        <v>2</v>
      </c>
      <c r="E167" s="6" t="s">
        <v>5</v>
      </c>
      <c r="F167" s="6">
        <v>16274</v>
      </c>
      <c r="G167" s="6">
        <v>200</v>
      </c>
      <c r="H167" s="12">
        <v>6079.9999239999997</v>
      </c>
      <c r="I167" s="6">
        <v>100</v>
      </c>
      <c r="J167" s="11">
        <f>Análises!F167</f>
        <v>3.9342105879934222</v>
      </c>
    </row>
    <row r="168" spans="1:10">
      <c r="A168" s="6" t="s">
        <v>165</v>
      </c>
      <c r="B168" s="7">
        <v>44728</v>
      </c>
      <c r="C168" s="6" t="s">
        <v>159</v>
      </c>
      <c r="D168" s="6" t="s">
        <v>2</v>
      </c>
      <c r="E168" s="6" t="s">
        <v>1</v>
      </c>
      <c r="F168" s="6">
        <v>4423</v>
      </c>
      <c r="G168" s="6">
        <v>50</v>
      </c>
      <c r="H168" s="12">
        <v>1460.0000379999999</v>
      </c>
      <c r="I168" s="6">
        <v>100</v>
      </c>
      <c r="J168" s="11">
        <f>Análises!F168</f>
        <v>19.547944670669935</v>
      </c>
    </row>
    <row r="169" spans="1:10">
      <c r="A169" s="6" t="s">
        <v>165</v>
      </c>
      <c r="B169" s="7">
        <v>44729</v>
      </c>
      <c r="C169" s="6" t="s">
        <v>159</v>
      </c>
      <c r="D169" s="6" t="s">
        <v>2</v>
      </c>
      <c r="E169" s="6" t="s">
        <v>1</v>
      </c>
      <c r="F169" s="6">
        <v>12382</v>
      </c>
      <c r="G169" s="6">
        <v>100</v>
      </c>
      <c r="H169" s="12">
        <v>2839.999914</v>
      </c>
      <c r="I169" s="6">
        <v>100</v>
      </c>
      <c r="J169" s="11">
        <f>Análises!F169</f>
        <v>9.5633806015671592</v>
      </c>
    </row>
    <row r="170" spans="1:10">
      <c r="A170" s="6" t="s">
        <v>165</v>
      </c>
      <c r="B170" s="7">
        <v>44730</v>
      </c>
      <c r="C170" s="6" t="s">
        <v>159</v>
      </c>
      <c r="D170" s="6" t="s">
        <v>2</v>
      </c>
      <c r="E170" s="6" t="s">
        <v>1</v>
      </c>
      <c r="F170" s="6">
        <v>2938</v>
      </c>
      <c r="G170" s="6">
        <v>50</v>
      </c>
      <c r="H170" s="12">
        <v>1350.0000240000002</v>
      </c>
      <c r="I170" s="6">
        <v>100</v>
      </c>
      <c r="J170" s="11">
        <f>Análises!F170</f>
        <v>21.222221827160496</v>
      </c>
    </row>
    <row r="171" spans="1:10">
      <c r="A171" s="6" t="s">
        <v>165</v>
      </c>
      <c r="B171" s="7">
        <v>44731</v>
      </c>
      <c r="C171" s="6" t="s">
        <v>159</v>
      </c>
      <c r="D171" s="6" t="s">
        <v>2</v>
      </c>
      <c r="E171" s="6" t="s">
        <v>1</v>
      </c>
      <c r="F171" s="6">
        <v>10332</v>
      </c>
      <c r="G171" s="6">
        <v>200</v>
      </c>
      <c r="H171" s="12">
        <v>5750</v>
      </c>
      <c r="I171" s="6">
        <v>50</v>
      </c>
      <c r="J171" s="11">
        <f>Análises!F171</f>
        <v>1.6086956521739131</v>
      </c>
    </row>
    <row r="172" spans="1:10">
      <c r="A172" s="6" t="s">
        <v>165</v>
      </c>
      <c r="B172" s="7">
        <v>44732</v>
      </c>
      <c r="C172" s="6" t="s">
        <v>159</v>
      </c>
      <c r="D172" s="6" t="s">
        <v>2</v>
      </c>
      <c r="E172" s="6" t="s">
        <v>1</v>
      </c>
      <c r="F172" s="6">
        <v>8259</v>
      </c>
      <c r="G172" s="6">
        <v>150</v>
      </c>
      <c r="H172" s="12">
        <v>3980.0000190000001</v>
      </c>
      <c r="I172" s="6">
        <v>50</v>
      </c>
      <c r="J172" s="11">
        <f>Análises!F172</f>
        <v>2.7688442031135581</v>
      </c>
    </row>
    <row r="173" spans="1:10">
      <c r="A173" s="6" t="s">
        <v>165</v>
      </c>
      <c r="B173" s="7">
        <v>44733</v>
      </c>
      <c r="C173" s="6" t="s">
        <v>159</v>
      </c>
      <c r="D173" s="6" t="s">
        <v>2</v>
      </c>
      <c r="E173" s="6" t="s">
        <v>1</v>
      </c>
      <c r="F173" s="6">
        <v>12158</v>
      </c>
      <c r="G173" s="6">
        <v>150</v>
      </c>
      <c r="H173" s="12">
        <v>4449.9999280000002</v>
      </c>
      <c r="I173" s="6">
        <v>50</v>
      </c>
      <c r="J173" s="11">
        <f>Análises!F173</f>
        <v>2.3707865713925016</v>
      </c>
    </row>
    <row r="174" spans="1:10">
      <c r="A174" s="6" t="s">
        <v>165</v>
      </c>
      <c r="B174" s="7">
        <v>44734</v>
      </c>
      <c r="C174" s="6" t="s">
        <v>159</v>
      </c>
      <c r="D174" s="6" t="s">
        <v>2</v>
      </c>
      <c r="E174" s="6" t="s">
        <v>1</v>
      </c>
      <c r="F174" s="6">
        <v>11199</v>
      </c>
      <c r="G174" s="6">
        <v>100</v>
      </c>
      <c r="H174" s="12">
        <v>2680.0000669999999</v>
      </c>
      <c r="I174" s="6">
        <v>50</v>
      </c>
      <c r="J174" s="11">
        <f>Análises!F174</f>
        <v>4.5970147854477643</v>
      </c>
    </row>
    <row r="175" spans="1:10">
      <c r="A175" s="6" t="s">
        <v>165</v>
      </c>
      <c r="B175" s="7">
        <v>44735</v>
      </c>
      <c r="C175" s="6" t="s">
        <v>159</v>
      </c>
      <c r="D175" s="6" t="s">
        <v>2</v>
      </c>
      <c r="E175" s="6" t="s">
        <v>1</v>
      </c>
      <c r="F175" s="6">
        <v>5676</v>
      </c>
      <c r="G175" s="6">
        <v>100</v>
      </c>
      <c r="H175" s="12">
        <v>3009.9999899999998</v>
      </c>
      <c r="I175" s="6">
        <v>50</v>
      </c>
      <c r="J175" s="11">
        <f>Análises!F175</f>
        <v>3.9833887208750456</v>
      </c>
    </row>
    <row r="176" spans="1:10">
      <c r="A176" s="6" t="s">
        <v>165</v>
      </c>
      <c r="B176" s="7">
        <v>44736</v>
      </c>
      <c r="C176" s="6" t="s">
        <v>159</v>
      </c>
      <c r="D176" s="6" t="s">
        <v>2</v>
      </c>
      <c r="E176" s="6" t="s">
        <v>1</v>
      </c>
      <c r="F176" s="6">
        <v>4607</v>
      </c>
      <c r="G176" s="6">
        <v>50</v>
      </c>
      <c r="H176" s="12">
        <v>1149.9999759999998</v>
      </c>
      <c r="I176" s="6">
        <v>100</v>
      </c>
      <c r="J176" s="11">
        <f>Análises!F176</f>
        <v>25.086957066162586</v>
      </c>
    </row>
    <row r="177" spans="1:10">
      <c r="A177" s="6" t="s">
        <v>165</v>
      </c>
      <c r="B177" s="7">
        <v>44737</v>
      </c>
      <c r="C177" s="6" t="s">
        <v>159</v>
      </c>
      <c r="D177" s="6" t="s">
        <v>2</v>
      </c>
      <c r="E177" s="6" t="s">
        <v>1</v>
      </c>
      <c r="F177" s="6">
        <v>13355</v>
      </c>
      <c r="G177" s="6">
        <v>100</v>
      </c>
      <c r="H177" s="12">
        <v>3180.0000669999999</v>
      </c>
      <c r="I177" s="6">
        <v>100</v>
      </c>
      <c r="J177" s="11">
        <f>Análises!F177</f>
        <v>8.4339620653850762</v>
      </c>
    </row>
    <row r="178" spans="1:10">
      <c r="A178" s="6" t="s">
        <v>165</v>
      </c>
      <c r="B178" s="7">
        <v>44738</v>
      </c>
      <c r="C178" s="6" t="s">
        <v>159</v>
      </c>
      <c r="D178" s="6" t="s">
        <v>2</v>
      </c>
      <c r="E178" s="6" t="s">
        <v>1</v>
      </c>
      <c r="F178" s="6">
        <v>2793</v>
      </c>
      <c r="G178" s="6">
        <v>50</v>
      </c>
      <c r="H178" s="12">
        <v>980.00001899999995</v>
      </c>
      <c r="I178" s="6">
        <v>100</v>
      </c>
      <c r="J178" s="11">
        <f>Análises!F178</f>
        <v>29.612244304456489</v>
      </c>
    </row>
    <row r="179" spans="1:10">
      <c r="A179" s="6" t="s">
        <v>165</v>
      </c>
      <c r="B179" s="7">
        <v>44739</v>
      </c>
      <c r="C179" s="6" t="s">
        <v>159</v>
      </c>
      <c r="D179" s="6" t="s">
        <v>2</v>
      </c>
      <c r="E179" s="6" t="s">
        <v>1</v>
      </c>
      <c r="F179" s="6">
        <v>2797</v>
      </c>
      <c r="G179" s="6">
        <v>50</v>
      </c>
      <c r="H179" s="12">
        <v>1289.9999620000001</v>
      </c>
      <c r="I179" s="6">
        <v>50</v>
      </c>
      <c r="J179" s="11">
        <f>Análises!F179</f>
        <v>10.627907319271689</v>
      </c>
    </row>
    <row r="180" spans="1:10">
      <c r="A180" s="6" t="s">
        <v>165</v>
      </c>
      <c r="B180" s="7">
        <v>44740</v>
      </c>
      <c r="C180" s="6" t="s">
        <v>159</v>
      </c>
      <c r="D180" s="6" t="s">
        <v>2</v>
      </c>
      <c r="E180" s="6" t="s">
        <v>1</v>
      </c>
      <c r="F180" s="6">
        <v>9750</v>
      </c>
      <c r="G180" s="6">
        <v>100</v>
      </c>
      <c r="H180" s="12">
        <v>1500</v>
      </c>
      <c r="I180" s="6">
        <v>100</v>
      </c>
      <c r="J180" s="11">
        <f>Análises!F180</f>
        <v>19</v>
      </c>
    </row>
    <row r="181" spans="1:10">
      <c r="A181" s="6" t="s">
        <v>165</v>
      </c>
      <c r="B181" s="7">
        <v>44741</v>
      </c>
      <c r="C181" s="6" t="s">
        <v>159</v>
      </c>
      <c r="D181" s="6" t="s">
        <v>2</v>
      </c>
      <c r="E181" s="6" t="s">
        <v>1</v>
      </c>
      <c r="F181" s="6">
        <v>3029</v>
      </c>
      <c r="G181" s="6">
        <v>50</v>
      </c>
      <c r="H181" s="12">
        <v>1049.9999520000001</v>
      </c>
      <c r="I181" s="6">
        <v>100</v>
      </c>
      <c r="J181" s="11">
        <f>Análises!F181</f>
        <v>27.571429877551079</v>
      </c>
    </row>
    <row r="182" spans="1:10">
      <c r="A182" s="6" t="s">
        <v>165</v>
      </c>
      <c r="B182" s="7">
        <v>44742</v>
      </c>
      <c r="C182" s="6" t="s">
        <v>159</v>
      </c>
      <c r="D182" s="6" t="s">
        <v>2</v>
      </c>
      <c r="E182" s="6" t="s">
        <v>1</v>
      </c>
      <c r="F182" s="6">
        <v>4726</v>
      </c>
      <c r="G182" s="6">
        <v>50</v>
      </c>
      <c r="H182" s="12">
        <v>1830.000043</v>
      </c>
      <c r="I182" s="6">
        <v>100</v>
      </c>
      <c r="J182" s="11">
        <f>Análises!F182</f>
        <v>15.393442237749717</v>
      </c>
    </row>
    <row r="183" spans="1:10">
      <c r="A183" s="6" t="s">
        <v>165</v>
      </c>
      <c r="B183" s="7">
        <v>44743</v>
      </c>
      <c r="C183" s="6" t="s">
        <v>159</v>
      </c>
      <c r="D183" s="6" t="s">
        <v>2</v>
      </c>
      <c r="E183" s="6" t="s">
        <v>1</v>
      </c>
      <c r="F183" s="6">
        <v>14615</v>
      </c>
      <c r="G183" s="6">
        <v>200</v>
      </c>
      <c r="H183" s="12">
        <v>6050.0001910000001</v>
      </c>
      <c r="I183" s="6">
        <v>50</v>
      </c>
      <c r="J183" s="11">
        <f>Análises!F183</f>
        <v>1.4793387647018672</v>
      </c>
    </row>
    <row r="184" spans="1:10">
      <c r="A184" s="6" t="s">
        <v>165</v>
      </c>
      <c r="B184" s="7">
        <v>44744</v>
      </c>
      <c r="C184" s="6" t="s">
        <v>159</v>
      </c>
      <c r="D184" s="6" t="s">
        <v>2</v>
      </c>
      <c r="E184" s="6" t="s">
        <v>1</v>
      </c>
      <c r="F184" s="6">
        <v>11446</v>
      </c>
      <c r="G184" s="6">
        <v>100</v>
      </c>
      <c r="H184" s="12">
        <v>3090.0000329999998</v>
      </c>
      <c r="I184" s="6">
        <v>100</v>
      </c>
      <c r="J184" s="11">
        <f>Análises!F184</f>
        <v>8.7087377603921219</v>
      </c>
    </row>
    <row r="185" spans="1:10">
      <c r="A185" s="6" t="s">
        <v>165</v>
      </c>
      <c r="B185" s="7">
        <v>44745</v>
      </c>
      <c r="C185" s="6" t="s">
        <v>159</v>
      </c>
      <c r="D185" s="6" t="s">
        <v>2</v>
      </c>
      <c r="E185" s="6" t="s">
        <v>1</v>
      </c>
      <c r="F185" s="6">
        <v>8077</v>
      </c>
      <c r="G185" s="6">
        <v>100</v>
      </c>
      <c r="H185" s="12">
        <v>3579.9999240000002</v>
      </c>
      <c r="I185" s="6">
        <v>100</v>
      </c>
      <c r="J185" s="11">
        <f>Análises!F185</f>
        <v>7.3798884460534975</v>
      </c>
    </row>
    <row r="186" spans="1:10">
      <c r="A186" s="6" t="s">
        <v>165</v>
      </c>
      <c r="B186" s="7">
        <v>44746</v>
      </c>
      <c r="C186" s="6" t="s">
        <v>159</v>
      </c>
      <c r="D186" s="6" t="s">
        <v>2</v>
      </c>
      <c r="E186" s="6" t="s">
        <v>1</v>
      </c>
      <c r="F186" s="6">
        <v>25817</v>
      </c>
      <c r="G186" s="6">
        <v>200</v>
      </c>
      <c r="H186" s="12">
        <v>6019.9999809999999</v>
      </c>
      <c r="I186" s="6">
        <v>50</v>
      </c>
      <c r="J186" s="11">
        <f>Análises!F186</f>
        <v>1.4916943600236199</v>
      </c>
    </row>
    <row r="187" spans="1:10">
      <c r="A187" s="6" t="s">
        <v>165</v>
      </c>
      <c r="B187" s="7">
        <v>44747</v>
      </c>
      <c r="C187" s="6" t="s">
        <v>159</v>
      </c>
      <c r="D187" s="6" t="s">
        <v>2</v>
      </c>
      <c r="E187" s="6" t="s">
        <v>1</v>
      </c>
      <c r="F187" s="6">
        <v>6412</v>
      </c>
      <c r="G187" s="6">
        <v>50</v>
      </c>
      <c r="H187" s="12">
        <v>1370.0000050000001</v>
      </c>
      <c r="I187" s="6">
        <v>50</v>
      </c>
      <c r="J187" s="11">
        <f>Análises!F187</f>
        <v>9.9489050695295429</v>
      </c>
    </row>
    <row r="188" spans="1:10">
      <c r="A188" s="6" t="s">
        <v>165</v>
      </c>
      <c r="B188" s="7">
        <v>44748</v>
      </c>
      <c r="C188" s="6" t="s">
        <v>159</v>
      </c>
      <c r="D188" s="6" t="s">
        <v>2</v>
      </c>
      <c r="E188" s="6" t="s">
        <v>1</v>
      </c>
      <c r="F188" s="6">
        <v>8200</v>
      </c>
      <c r="G188" s="6">
        <v>150</v>
      </c>
      <c r="H188" s="12">
        <v>3919.999957</v>
      </c>
      <c r="I188" s="6">
        <v>50</v>
      </c>
      <c r="J188" s="11">
        <f>Análises!F188</f>
        <v>2.8265306542195963</v>
      </c>
    </row>
    <row r="189" spans="1:10">
      <c r="A189" s="6" t="s">
        <v>165</v>
      </c>
      <c r="B189" s="7">
        <v>44749</v>
      </c>
      <c r="C189" s="6" t="s">
        <v>159</v>
      </c>
      <c r="D189" s="6" t="s">
        <v>2</v>
      </c>
      <c r="E189" s="6" t="s">
        <v>1</v>
      </c>
      <c r="F189" s="6">
        <v>6607</v>
      </c>
      <c r="G189" s="6">
        <v>50</v>
      </c>
      <c r="H189" s="12">
        <v>1320.0000519999999</v>
      </c>
      <c r="I189" s="6">
        <v>100</v>
      </c>
      <c r="J189" s="11">
        <f>Análises!F189</f>
        <v>21.72727183195596</v>
      </c>
    </row>
    <row r="190" spans="1:10">
      <c r="A190" s="6" t="s">
        <v>165</v>
      </c>
      <c r="B190" s="7">
        <v>44750</v>
      </c>
      <c r="C190" s="6" t="s">
        <v>159</v>
      </c>
      <c r="D190" s="6" t="s">
        <v>2</v>
      </c>
      <c r="E190" s="6" t="s">
        <v>1</v>
      </c>
      <c r="F190" s="6">
        <v>2633</v>
      </c>
      <c r="G190" s="6">
        <v>50</v>
      </c>
      <c r="H190" s="12">
        <v>1070.0000519999999</v>
      </c>
      <c r="I190" s="6">
        <v>50</v>
      </c>
      <c r="J190" s="11">
        <f>Análises!F190</f>
        <v>13.018690907502874</v>
      </c>
    </row>
    <row r="191" spans="1:10">
      <c r="A191" s="6" t="s">
        <v>165</v>
      </c>
      <c r="B191" s="7">
        <v>44751</v>
      </c>
      <c r="C191" s="6" t="s">
        <v>159</v>
      </c>
      <c r="D191" s="6" t="s">
        <v>2</v>
      </c>
      <c r="E191" s="6" t="s">
        <v>1</v>
      </c>
      <c r="F191" s="6">
        <v>9948</v>
      </c>
      <c r="G191" s="6">
        <v>100</v>
      </c>
      <c r="H191" s="12">
        <v>2720.0000289999998</v>
      </c>
      <c r="I191" s="6">
        <v>100</v>
      </c>
      <c r="J191" s="11">
        <f>Análises!F191</f>
        <v>10.029411647112891</v>
      </c>
    </row>
    <row r="192" spans="1:10">
      <c r="A192" s="6" t="s">
        <v>166</v>
      </c>
      <c r="B192" s="7">
        <v>44752</v>
      </c>
      <c r="C192" s="6" t="s">
        <v>159</v>
      </c>
      <c r="D192" s="6" t="s">
        <v>3</v>
      </c>
      <c r="E192" s="6" t="s">
        <v>5</v>
      </c>
      <c r="F192" s="6">
        <v>6907</v>
      </c>
      <c r="G192" s="6">
        <v>100</v>
      </c>
      <c r="H192" s="12">
        <v>2349.9999640000001</v>
      </c>
      <c r="I192" s="6">
        <v>50</v>
      </c>
      <c r="J192" s="11">
        <f>Análises!F192</f>
        <v>5.3829788211860583</v>
      </c>
    </row>
    <row r="193" spans="1:10">
      <c r="A193" s="6" t="s">
        <v>166</v>
      </c>
      <c r="B193" s="7">
        <v>44753</v>
      </c>
      <c r="C193" s="6" t="s">
        <v>159</v>
      </c>
      <c r="D193" s="6" t="s">
        <v>3</v>
      </c>
      <c r="E193" s="6" t="s">
        <v>5</v>
      </c>
      <c r="F193" s="6">
        <v>39035</v>
      </c>
      <c r="G193" s="6">
        <v>650</v>
      </c>
      <c r="H193" s="12">
        <v>19329.99957</v>
      </c>
      <c r="I193" s="6">
        <v>50</v>
      </c>
      <c r="J193" s="11">
        <f>Análises!F193</f>
        <v>-0.22400412138239897</v>
      </c>
    </row>
    <row r="194" spans="1:10">
      <c r="A194" s="6" t="s">
        <v>166</v>
      </c>
      <c r="B194" s="7">
        <v>44754</v>
      </c>
      <c r="C194" s="6" t="s">
        <v>159</v>
      </c>
      <c r="D194" s="6" t="s">
        <v>3</v>
      </c>
      <c r="E194" s="6" t="s">
        <v>5</v>
      </c>
      <c r="F194" s="6">
        <v>4412</v>
      </c>
      <c r="G194" s="6">
        <v>50</v>
      </c>
      <c r="H194" s="12">
        <v>1450.0000479999999</v>
      </c>
      <c r="I194" s="6">
        <v>50</v>
      </c>
      <c r="J194" s="11">
        <f>Análises!F194</f>
        <v>9.3448272437574431</v>
      </c>
    </row>
    <row r="195" spans="1:10">
      <c r="A195" s="6" t="s">
        <v>166</v>
      </c>
      <c r="B195" s="7">
        <v>44755</v>
      </c>
      <c r="C195" s="6" t="s">
        <v>159</v>
      </c>
      <c r="D195" s="6" t="s">
        <v>3</v>
      </c>
      <c r="E195" s="6" t="s">
        <v>5</v>
      </c>
      <c r="F195" s="6">
        <v>9965</v>
      </c>
      <c r="G195" s="6">
        <v>150</v>
      </c>
      <c r="H195" s="12">
        <v>4050.0000719999994</v>
      </c>
      <c r="I195" s="6">
        <v>50</v>
      </c>
      <c r="J195" s="11">
        <f>Análises!F195</f>
        <v>2.7037036378600843</v>
      </c>
    </row>
    <row r="196" spans="1:10">
      <c r="A196" s="6" t="s">
        <v>166</v>
      </c>
      <c r="B196" s="7">
        <v>44756</v>
      </c>
      <c r="C196" s="6" t="s">
        <v>159</v>
      </c>
      <c r="D196" s="6" t="s">
        <v>3</v>
      </c>
      <c r="E196" s="6" t="s">
        <v>5</v>
      </c>
      <c r="F196" s="6">
        <v>27081</v>
      </c>
      <c r="G196" s="6">
        <v>450</v>
      </c>
      <c r="H196" s="12">
        <v>10770.000460000001</v>
      </c>
      <c r="I196" s="6">
        <v>100</v>
      </c>
      <c r="J196" s="11">
        <f>Análises!F196</f>
        <v>1.7855152013614672</v>
      </c>
    </row>
    <row r="197" spans="1:10">
      <c r="A197" s="6" t="s">
        <v>166</v>
      </c>
      <c r="B197" s="7">
        <v>44757</v>
      </c>
      <c r="C197" s="6" t="s">
        <v>159</v>
      </c>
      <c r="D197" s="6" t="s">
        <v>3</v>
      </c>
      <c r="E197" s="6" t="s">
        <v>5</v>
      </c>
      <c r="F197" s="6">
        <v>20233</v>
      </c>
      <c r="G197" s="6">
        <v>200</v>
      </c>
      <c r="H197" s="12">
        <v>5590.000153</v>
      </c>
      <c r="I197" s="6">
        <v>150</v>
      </c>
      <c r="J197" s="11">
        <f>Análises!F197</f>
        <v>7.0500892251048919</v>
      </c>
    </row>
    <row r="198" spans="1:10">
      <c r="A198" s="6" t="s">
        <v>166</v>
      </c>
      <c r="B198" s="7">
        <v>44758</v>
      </c>
      <c r="C198" s="6" t="s">
        <v>159</v>
      </c>
      <c r="D198" s="6" t="s">
        <v>3</v>
      </c>
      <c r="E198" s="6" t="s">
        <v>5</v>
      </c>
      <c r="F198" s="6">
        <v>147159</v>
      </c>
      <c r="G198" s="6">
        <v>1800</v>
      </c>
      <c r="H198" s="12">
        <v>58160.000439999996</v>
      </c>
      <c r="I198" s="6">
        <v>200</v>
      </c>
      <c r="J198" s="11">
        <f>Análises!F198</f>
        <v>3.1636856019253562E-2</v>
      </c>
    </row>
    <row r="199" spans="1:10">
      <c r="A199" s="6" t="s">
        <v>166</v>
      </c>
      <c r="B199" s="7">
        <v>44759</v>
      </c>
      <c r="C199" s="6" t="s">
        <v>159</v>
      </c>
      <c r="D199" s="6" t="s">
        <v>3</v>
      </c>
      <c r="E199" s="6" t="s">
        <v>5</v>
      </c>
      <c r="F199" s="6">
        <v>21664</v>
      </c>
      <c r="G199" s="6">
        <v>350</v>
      </c>
      <c r="H199" s="12">
        <v>10619.99977</v>
      </c>
      <c r="I199" s="6">
        <v>100</v>
      </c>
      <c r="J199" s="11">
        <f>Análises!F199</f>
        <v>1.8248588182408216</v>
      </c>
    </row>
    <row r="200" spans="1:10">
      <c r="A200" s="6" t="s">
        <v>166</v>
      </c>
      <c r="B200" s="7">
        <v>44760</v>
      </c>
      <c r="C200" s="6" t="s">
        <v>159</v>
      </c>
      <c r="D200" s="6" t="s">
        <v>3</v>
      </c>
      <c r="E200" s="6" t="s">
        <v>5</v>
      </c>
      <c r="F200" s="6">
        <v>9112</v>
      </c>
      <c r="G200" s="6">
        <v>200</v>
      </c>
      <c r="H200" s="12">
        <v>5460.0000380000001</v>
      </c>
      <c r="I200" s="6">
        <v>100</v>
      </c>
      <c r="J200" s="11">
        <f>Análises!F200</f>
        <v>4.4945054562653466</v>
      </c>
    </row>
    <row r="201" spans="1:10">
      <c r="A201" s="6" t="s">
        <v>166</v>
      </c>
      <c r="B201" s="7">
        <v>44761</v>
      </c>
      <c r="C201" s="6" t="s">
        <v>159</v>
      </c>
      <c r="D201" s="6" t="s">
        <v>3</v>
      </c>
      <c r="E201" s="6" t="s">
        <v>5</v>
      </c>
      <c r="F201" s="6">
        <v>34127</v>
      </c>
      <c r="G201" s="6">
        <v>400</v>
      </c>
      <c r="H201" s="12">
        <v>13070.000169999999</v>
      </c>
      <c r="I201" s="6">
        <v>50</v>
      </c>
      <c r="J201" s="11">
        <f>Análises!F201</f>
        <v>0.14766639670212037</v>
      </c>
    </row>
    <row r="202" spans="1:10">
      <c r="A202" s="6" t="s">
        <v>166</v>
      </c>
      <c r="B202" s="7">
        <v>44762</v>
      </c>
      <c r="C202" s="6" t="s">
        <v>159</v>
      </c>
      <c r="D202" s="6" t="s">
        <v>3</v>
      </c>
      <c r="E202" s="6" t="s">
        <v>5</v>
      </c>
      <c r="F202" s="6">
        <v>29466</v>
      </c>
      <c r="G202" s="6">
        <v>350</v>
      </c>
      <c r="H202" s="12">
        <v>10849.999670000001</v>
      </c>
      <c r="I202" s="6">
        <v>100</v>
      </c>
      <c r="J202" s="11">
        <f>Análises!F202</f>
        <v>1.7649770426214213</v>
      </c>
    </row>
    <row r="203" spans="1:10">
      <c r="A203" s="6" t="s">
        <v>166</v>
      </c>
      <c r="B203" s="7">
        <v>44763</v>
      </c>
      <c r="C203" s="6" t="s">
        <v>159</v>
      </c>
      <c r="D203" s="6" t="s">
        <v>3</v>
      </c>
      <c r="E203" s="6" t="s">
        <v>5</v>
      </c>
      <c r="F203" s="6">
        <v>38759</v>
      </c>
      <c r="G203" s="6">
        <v>450</v>
      </c>
      <c r="H203" s="12">
        <v>10849.999670000001</v>
      </c>
      <c r="I203" s="6">
        <v>50</v>
      </c>
      <c r="J203" s="11">
        <f>Análises!F203</f>
        <v>0.38248852131071065</v>
      </c>
    </row>
    <row r="204" spans="1:10">
      <c r="A204" s="6" t="s">
        <v>166</v>
      </c>
      <c r="B204" s="7">
        <v>44764</v>
      </c>
      <c r="C204" s="6" t="s">
        <v>159</v>
      </c>
      <c r="D204" s="6" t="s">
        <v>3</v>
      </c>
      <c r="E204" s="6" t="s">
        <v>5</v>
      </c>
      <c r="F204" s="6">
        <v>41720</v>
      </c>
      <c r="G204" s="6">
        <v>500</v>
      </c>
      <c r="H204" s="12">
        <v>12060.00006</v>
      </c>
      <c r="I204" s="6">
        <v>100</v>
      </c>
      <c r="J204" s="11">
        <f>Análises!F204</f>
        <v>1.4875621766787952</v>
      </c>
    </row>
    <row r="205" spans="1:10">
      <c r="A205" s="6" t="s">
        <v>166</v>
      </c>
      <c r="B205" s="7">
        <v>44765</v>
      </c>
      <c r="C205" s="6" t="s">
        <v>159</v>
      </c>
      <c r="D205" s="6" t="s">
        <v>3</v>
      </c>
      <c r="E205" s="6" t="s">
        <v>5</v>
      </c>
      <c r="F205" s="6">
        <v>27559</v>
      </c>
      <c r="G205" s="6">
        <v>400</v>
      </c>
      <c r="H205" s="12">
        <v>13370</v>
      </c>
      <c r="I205" s="6">
        <v>50</v>
      </c>
      <c r="J205" s="11">
        <f>Análises!F205</f>
        <v>0.1219147344801795</v>
      </c>
    </row>
    <row r="206" spans="1:10">
      <c r="A206" s="6" t="s">
        <v>166</v>
      </c>
      <c r="B206" s="7">
        <v>44766</v>
      </c>
      <c r="C206" s="6" t="s">
        <v>159</v>
      </c>
      <c r="D206" s="6" t="s">
        <v>3</v>
      </c>
      <c r="E206" s="6" t="s">
        <v>5</v>
      </c>
      <c r="F206" s="6">
        <v>8152</v>
      </c>
      <c r="G206" s="6">
        <v>50</v>
      </c>
      <c r="H206" s="12">
        <v>990.00001000000009</v>
      </c>
      <c r="I206" s="6">
        <v>50</v>
      </c>
      <c r="J206" s="11">
        <f>Análises!F206</f>
        <v>14.151514998469544</v>
      </c>
    </row>
    <row r="207" spans="1:10">
      <c r="A207" s="6" t="s">
        <v>166</v>
      </c>
      <c r="B207" s="7">
        <v>44767</v>
      </c>
      <c r="C207" s="6" t="s">
        <v>159</v>
      </c>
      <c r="D207" s="6" t="s">
        <v>3</v>
      </c>
      <c r="E207" s="6" t="s">
        <v>5</v>
      </c>
      <c r="F207" s="6">
        <v>74542</v>
      </c>
      <c r="G207" s="6">
        <v>950</v>
      </c>
      <c r="H207" s="12">
        <v>34150.000099999997</v>
      </c>
      <c r="I207" s="6">
        <v>50</v>
      </c>
      <c r="J207" s="11">
        <f>Análises!F207</f>
        <v>-0.56076134828473978</v>
      </c>
    </row>
    <row r="208" spans="1:10">
      <c r="A208" s="6" t="s">
        <v>166</v>
      </c>
      <c r="B208" s="7">
        <v>44768</v>
      </c>
      <c r="C208" s="6" t="s">
        <v>159</v>
      </c>
      <c r="D208" s="6" t="s">
        <v>3</v>
      </c>
      <c r="E208" s="6" t="s">
        <v>5</v>
      </c>
      <c r="F208" s="6">
        <v>6699</v>
      </c>
      <c r="G208" s="6">
        <v>100</v>
      </c>
      <c r="H208" s="12">
        <v>3090.0000329999998</v>
      </c>
      <c r="I208" s="6">
        <v>50</v>
      </c>
      <c r="J208" s="11">
        <f>Análises!F208</f>
        <v>3.8543688801960605</v>
      </c>
    </row>
    <row r="209" spans="1:10">
      <c r="A209" s="6" t="s">
        <v>166</v>
      </c>
      <c r="B209" s="7">
        <v>44769</v>
      </c>
      <c r="C209" s="6" t="s">
        <v>159</v>
      </c>
      <c r="D209" s="6" t="s">
        <v>3</v>
      </c>
      <c r="E209" s="6" t="s">
        <v>5</v>
      </c>
      <c r="F209" s="6">
        <v>11911</v>
      </c>
      <c r="G209" s="6">
        <v>200</v>
      </c>
      <c r="H209" s="12">
        <v>3959.9999189999999</v>
      </c>
      <c r="I209" s="6">
        <v>50</v>
      </c>
      <c r="J209" s="11">
        <f>Análises!F209</f>
        <v>2.7878788653581283</v>
      </c>
    </row>
    <row r="210" spans="1:10">
      <c r="A210" s="6" t="s">
        <v>166</v>
      </c>
      <c r="B210" s="7">
        <v>44770</v>
      </c>
      <c r="C210" s="6" t="s">
        <v>159</v>
      </c>
      <c r="D210" s="6" t="s">
        <v>3</v>
      </c>
      <c r="E210" s="6" t="s">
        <v>5</v>
      </c>
      <c r="F210" s="6">
        <v>24188</v>
      </c>
      <c r="G210" s="6">
        <v>250</v>
      </c>
      <c r="H210" s="12">
        <v>8179.999828</v>
      </c>
      <c r="I210" s="6">
        <v>50</v>
      </c>
      <c r="J210" s="11">
        <f>Análises!F210</f>
        <v>0.83374086985371998</v>
      </c>
    </row>
    <row r="211" spans="1:10">
      <c r="A211" s="6" t="s">
        <v>166</v>
      </c>
      <c r="B211" s="7">
        <v>44771</v>
      </c>
      <c r="C211" s="6" t="s">
        <v>159</v>
      </c>
      <c r="D211" s="6" t="s">
        <v>3</v>
      </c>
      <c r="E211" s="6" t="s">
        <v>5</v>
      </c>
      <c r="F211" s="6">
        <v>10750</v>
      </c>
      <c r="G211" s="6">
        <v>200</v>
      </c>
      <c r="H211" s="12">
        <v>5389.9998660000001</v>
      </c>
      <c r="I211" s="6">
        <v>50</v>
      </c>
      <c r="J211" s="11">
        <f>Análises!F211</f>
        <v>1.7829314235459759</v>
      </c>
    </row>
    <row r="212" spans="1:10">
      <c r="A212" s="6" t="s">
        <v>166</v>
      </c>
      <c r="B212" s="7">
        <v>44772</v>
      </c>
      <c r="C212" s="6" t="s">
        <v>159</v>
      </c>
      <c r="D212" s="6" t="s">
        <v>3</v>
      </c>
      <c r="E212" s="6" t="s">
        <v>5</v>
      </c>
      <c r="F212" s="6">
        <v>8316</v>
      </c>
      <c r="G212" s="6">
        <v>150</v>
      </c>
      <c r="H212" s="12">
        <v>4569.9999330000001</v>
      </c>
      <c r="I212" s="6">
        <v>100</v>
      </c>
      <c r="J212" s="11">
        <f>Análises!F212</f>
        <v>5.5645515185612586</v>
      </c>
    </row>
    <row r="213" spans="1:10">
      <c r="A213" s="6" t="s">
        <v>166</v>
      </c>
      <c r="B213" s="7">
        <v>44773</v>
      </c>
      <c r="C213" s="6" t="s">
        <v>159</v>
      </c>
      <c r="D213" s="6" t="s">
        <v>3</v>
      </c>
      <c r="E213" s="6" t="s">
        <v>5</v>
      </c>
      <c r="F213" s="6">
        <v>5794</v>
      </c>
      <c r="G213" s="6">
        <v>100</v>
      </c>
      <c r="H213" s="12">
        <v>2269.9999809999999</v>
      </c>
      <c r="I213" s="6">
        <v>50</v>
      </c>
      <c r="J213" s="11">
        <f>Análises!F213</f>
        <v>5.6079295707271637</v>
      </c>
    </row>
    <row r="214" spans="1:10">
      <c r="A214" s="6" t="s">
        <v>166</v>
      </c>
      <c r="B214" s="7">
        <v>44774</v>
      </c>
      <c r="C214" s="6" t="s">
        <v>159</v>
      </c>
      <c r="D214" s="6" t="s">
        <v>3</v>
      </c>
      <c r="E214" s="6" t="s">
        <v>5</v>
      </c>
      <c r="F214" s="6">
        <v>4813</v>
      </c>
      <c r="G214" s="6">
        <v>50</v>
      </c>
      <c r="H214" s="12">
        <v>1029.999971</v>
      </c>
      <c r="I214" s="6">
        <v>50</v>
      </c>
      <c r="J214" s="11">
        <f>Análises!F214</f>
        <v>13.563107206145737</v>
      </c>
    </row>
    <row r="215" spans="1:10">
      <c r="A215" s="6" t="s">
        <v>166</v>
      </c>
      <c r="B215" s="7">
        <v>44775</v>
      </c>
      <c r="C215" s="6" t="s">
        <v>159</v>
      </c>
      <c r="D215" s="6" t="s">
        <v>3</v>
      </c>
      <c r="E215" s="6" t="s">
        <v>5</v>
      </c>
      <c r="F215" s="6">
        <v>85285</v>
      </c>
      <c r="G215" s="6">
        <v>1300</v>
      </c>
      <c r="H215" s="12">
        <v>36130.000350000002</v>
      </c>
      <c r="I215" s="6">
        <v>50</v>
      </c>
      <c r="J215" s="11">
        <f>Análises!F215</f>
        <v>-0.58483255314997529</v>
      </c>
    </row>
    <row r="216" spans="1:10">
      <c r="A216" s="6" t="s">
        <v>166</v>
      </c>
      <c r="B216" s="7">
        <v>44776</v>
      </c>
      <c r="C216" s="6" t="s">
        <v>159</v>
      </c>
      <c r="D216" s="6" t="s">
        <v>3</v>
      </c>
      <c r="E216" s="6" t="s">
        <v>5</v>
      </c>
      <c r="F216" s="6">
        <v>5839</v>
      </c>
      <c r="G216" s="6">
        <v>50</v>
      </c>
      <c r="H216" s="12">
        <v>1370.0000050000001</v>
      </c>
      <c r="I216" s="6">
        <v>50</v>
      </c>
      <c r="J216" s="11">
        <f>Análises!F216</f>
        <v>9.9489050695295429</v>
      </c>
    </row>
    <row r="217" spans="1:10">
      <c r="A217" s="6" t="s">
        <v>166</v>
      </c>
      <c r="B217" s="7">
        <v>44777</v>
      </c>
      <c r="C217" s="6" t="s">
        <v>159</v>
      </c>
      <c r="D217" s="6" t="s">
        <v>3</v>
      </c>
      <c r="E217" s="6" t="s">
        <v>5</v>
      </c>
      <c r="F217" s="6">
        <v>5859</v>
      </c>
      <c r="G217" s="6">
        <v>50</v>
      </c>
      <c r="H217" s="12">
        <v>1539.9999620000001</v>
      </c>
      <c r="I217" s="6">
        <v>50</v>
      </c>
      <c r="J217" s="11">
        <f>Análises!F217</f>
        <v>8.7402599806038168</v>
      </c>
    </row>
    <row r="218" spans="1:10">
      <c r="A218" s="6" t="s">
        <v>166</v>
      </c>
      <c r="B218" s="7">
        <v>44778</v>
      </c>
      <c r="C218" s="6" t="s">
        <v>159</v>
      </c>
      <c r="D218" s="6" t="s">
        <v>3</v>
      </c>
      <c r="E218" s="6" t="s">
        <v>5</v>
      </c>
      <c r="F218" s="6">
        <v>164118</v>
      </c>
      <c r="G218" s="6">
        <v>2050</v>
      </c>
      <c r="H218" s="12">
        <v>59069.999929999998</v>
      </c>
      <c r="I218" s="6">
        <v>50</v>
      </c>
      <c r="J218" s="11">
        <f>Análises!F218</f>
        <v>-0.74606399157312475</v>
      </c>
    </row>
    <row r="219" spans="1:10">
      <c r="A219" s="6" t="s">
        <v>166</v>
      </c>
      <c r="B219" s="7">
        <v>44779</v>
      </c>
      <c r="C219" s="6" t="s">
        <v>159</v>
      </c>
      <c r="D219" s="6" t="s">
        <v>3</v>
      </c>
      <c r="E219" s="6" t="s">
        <v>5</v>
      </c>
      <c r="F219" s="6">
        <v>12318</v>
      </c>
      <c r="G219" s="6">
        <v>250</v>
      </c>
      <c r="H219" s="12">
        <v>6340.000153</v>
      </c>
      <c r="I219" s="6">
        <v>100</v>
      </c>
      <c r="J219" s="11">
        <f>Análises!F219</f>
        <v>3.7318610845465701</v>
      </c>
    </row>
    <row r="220" spans="1:10">
      <c r="A220" s="6" t="s">
        <v>166</v>
      </c>
      <c r="B220" s="7">
        <v>44780</v>
      </c>
      <c r="C220" s="6" t="s">
        <v>159</v>
      </c>
      <c r="D220" s="6" t="s">
        <v>3</v>
      </c>
      <c r="E220" s="6" t="s">
        <v>5</v>
      </c>
      <c r="F220" s="6">
        <v>7337</v>
      </c>
      <c r="G220" s="6">
        <v>150</v>
      </c>
      <c r="H220" s="12">
        <v>4079.9999240000002</v>
      </c>
      <c r="I220" s="6">
        <v>50</v>
      </c>
      <c r="J220" s="11">
        <f>Análises!F220</f>
        <v>2.6764706567185712</v>
      </c>
    </row>
    <row r="221" spans="1:10">
      <c r="A221" s="6" t="s">
        <v>166</v>
      </c>
      <c r="B221" s="7">
        <v>44781</v>
      </c>
      <c r="C221" s="6" t="s">
        <v>159</v>
      </c>
      <c r="D221" s="6" t="s">
        <v>3</v>
      </c>
      <c r="E221" s="6" t="s">
        <v>5</v>
      </c>
      <c r="F221" s="6">
        <v>11244</v>
      </c>
      <c r="G221" s="6">
        <v>150</v>
      </c>
      <c r="H221" s="12">
        <v>4550.0001910000001</v>
      </c>
      <c r="I221" s="6">
        <v>50</v>
      </c>
      <c r="J221" s="11">
        <f>Análises!F221</f>
        <v>2.296703158314219</v>
      </c>
    </row>
    <row r="222" spans="1:10">
      <c r="A222" s="6" t="s">
        <v>166</v>
      </c>
      <c r="B222" s="7">
        <v>44782</v>
      </c>
      <c r="C222" s="6" t="s">
        <v>159</v>
      </c>
      <c r="D222" s="6" t="s">
        <v>3</v>
      </c>
      <c r="E222" s="6" t="s">
        <v>5</v>
      </c>
      <c r="F222" s="6">
        <v>11537</v>
      </c>
      <c r="G222" s="6">
        <v>150</v>
      </c>
      <c r="H222" s="12">
        <v>4300.0001910000001</v>
      </c>
      <c r="I222" s="6">
        <v>50</v>
      </c>
      <c r="J222" s="11">
        <f>Análises!F222</f>
        <v>2.4883719380746419</v>
      </c>
    </row>
    <row r="223" spans="1:10">
      <c r="A223" s="6" t="s">
        <v>166</v>
      </c>
      <c r="B223" s="7">
        <v>44783</v>
      </c>
      <c r="C223" s="6" t="s">
        <v>159</v>
      </c>
      <c r="D223" s="6" t="s">
        <v>3</v>
      </c>
      <c r="E223" s="6" t="s">
        <v>5</v>
      </c>
      <c r="F223" s="6">
        <v>12183</v>
      </c>
      <c r="G223" s="6">
        <v>150</v>
      </c>
      <c r="H223" s="12">
        <v>2869.999945</v>
      </c>
      <c r="I223" s="6">
        <v>50</v>
      </c>
      <c r="J223" s="11">
        <f>Análises!F223</f>
        <v>4.2264809363959763</v>
      </c>
    </row>
    <row r="224" spans="1:10">
      <c r="A224" s="6" t="s">
        <v>166</v>
      </c>
      <c r="B224" s="7">
        <v>44784</v>
      </c>
      <c r="C224" s="6" t="s">
        <v>159</v>
      </c>
      <c r="D224" s="6" t="s">
        <v>3</v>
      </c>
      <c r="E224" s="6" t="s">
        <v>5</v>
      </c>
      <c r="F224" s="6">
        <v>3149</v>
      </c>
      <c r="G224" s="6">
        <v>50</v>
      </c>
      <c r="H224" s="12">
        <v>1480.0000190000001</v>
      </c>
      <c r="I224" s="6">
        <v>50</v>
      </c>
      <c r="J224" s="11">
        <f>Análises!F224</f>
        <v>9.1351350050219153</v>
      </c>
    </row>
    <row r="225" spans="1:10">
      <c r="A225" s="6" t="s">
        <v>166</v>
      </c>
      <c r="B225" s="7">
        <v>44785</v>
      </c>
      <c r="C225" s="6" t="s">
        <v>159</v>
      </c>
      <c r="D225" s="6" t="s">
        <v>3</v>
      </c>
      <c r="E225" s="6" t="s">
        <v>5</v>
      </c>
      <c r="F225" s="6">
        <v>28169</v>
      </c>
      <c r="G225" s="6">
        <v>400</v>
      </c>
      <c r="H225" s="12">
        <v>12369.999890000001</v>
      </c>
      <c r="I225" s="6">
        <v>100</v>
      </c>
      <c r="J225" s="11">
        <f>Análises!F225</f>
        <v>1.4252223336115162</v>
      </c>
    </row>
    <row r="226" spans="1:10">
      <c r="A226" s="6" t="s">
        <v>167</v>
      </c>
      <c r="B226" s="7">
        <v>44786</v>
      </c>
      <c r="C226" s="6" t="s">
        <v>159</v>
      </c>
      <c r="D226" s="6" t="s">
        <v>3</v>
      </c>
      <c r="E226" s="6" t="s">
        <v>1</v>
      </c>
      <c r="F226" s="6">
        <v>7709</v>
      </c>
      <c r="G226" s="6">
        <v>100</v>
      </c>
      <c r="H226" s="12">
        <v>1320.0000519999999</v>
      </c>
      <c r="I226" s="6">
        <v>100</v>
      </c>
      <c r="J226" s="11">
        <f>Análises!F226</f>
        <v>21.72727183195596</v>
      </c>
    </row>
    <row r="227" spans="1:10">
      <c r="A227" s="6" t="s">
        <v>167</v>
      </c>
      <c r="B227" s="7">
        <v>44787</v>
      </c>
      <c r="C227" s="6" t="s">
        <v>159</v>
      </c>
      <c r="D227" s="6" t="s">
        <v>3</v>
      </c>
      <c r="E227" s="6" t="s">
        <v>1</v>
      </c>
      <c r="F227" s="6">
        <v>2148</v>
      </c>
      <c r="G227" s="6">
        <v>50</v>
      </c>
      <c r="H227" s="12">
        <v>1580.000043</v>
      </c>
      <c r="I227" s="6">
        <v>100</v>
      </c>
      <c r="J227" s="11">
        <f>Análises!F227</f>
        <v>17.987341255407802</v>
      </c>
    </row>
    <row r="228" spans="1:10">
      <c r="A228" s="6" t="s">
        <v>167</v>
      </c>
      <c r="B228" s="7">
        <v>44788</v>
      </c>
      <c r="C228" s="6" t="s">
        <v>159</v>
      </c>
      <c r="D228" s="6" t="s">
        <v>3</v>
      </c>
      <c r="E228" s="6" t="s">
        <v>1</v>
      </c>
      <c r="F228" s="6">
        <v>4016</v>
      </c>
      <c r="G228" s="6">
        <v>100</v>
      </c>
      <c r="H228" s="12">
        <v>1480.000049</v>
      </c>
      <c r="I228" s="6">
        <v>100</v>
      </c>
      <c r="J228" s="11">
        <f>Análises!F228</f>
        <v>19.270269599159995</v>
      </c>
    </row>
    <row r="229" spans="1:10">
      <c r="A229" s="6" t="s">
        <v>167</v>
      </c>
      <c r="B229" s="7">
        <v>44789</v>
      </c>
      <c r="C229" s="6" t="s">
        <v>159</v>
      </c>
      <c r="D229" s="6" t="s">
        <v>3</v>
      </c>
      <c r="E229" s="6" t="s">
        <v>1</v>
      </c>
      <c r="F229" s="6">
        <v>14843</v>
      </c>
      <c r="G229" s="6">
        <v>150</v>
      </c>
      <c r="H229" s="12">
        <v>2939.9999379999999</v>
      </c>
      <c r="I229" s="6">
        <v>100</v>
      </c>
      <c r="J229" s="11">
        <f>Análises!F229</f>
        <v>9.2040818478411826</v>
      </c>
    </row>
    <row r="230" spans="1:10">
      <c r="A230" s="6" t="s">
        <v>167</v>
      </c>
      <c r="B230" s="7">
        <v>44790</v>
      </c>
      <c r="C230" s="6" t="s">
        <v>159</v>
      </c>
      <c r="D230" s="6" t="s">
        <v>3</v>
      </c>
      <c r="E230" s="6" t="s">
        <v>1</v>
      </c>
      <c r="F230" s="6">
        <v>10960</v>
      </c>
      <c r="G230" s="6">
        <v>100</v>
      </c>
      <c r="H230" s="12">
        <v>2890.0001050000001</v>
      </c>
      <c r="I230" s="6">
        <v>50</v>
      </c>
      <c r="J230" s="11">
        <f>Análises!F230</f>
        <v>4.1903112301098</v>
      </c>
    </row>
    <row r="231" spans="1:10">
      <c r="A231" s="6" t="s">
        <v>167</v>
      </c>
      <c r="B231" s="7">
        <v>44791</v>
      </c>
      <c r="C231" s="6" t="s">
        <v>159</v>
      </c>
      <c r="D231" s="6" t="s">
        <v>3</v>
      </c>
      <c r="E231" s="6" t="s">
        <v>1</v>
      </c>
      <c r="F231" s="6">
        <v>3523</v>
      </c>
      <c r="G231" s="6">
        <v>50</v>
      </c>
      <c r="H231" s="12">
        <v>1809.999943</v>
      </c>
      <c r="I231" s="6">
        <v>100</v>
      </c>
      <c r="J231" s="11">
        <f>Análises!F231</f>
        <v>15.574586157321223</v>
      </c>
    </row>
    <row r="232" spans="1:10">
      <c r="A232" s="6" t="s">
        <v>167</v>
      </c>
      <c r="B232" s="7">
        <v>44792</v>
      </c>
      <c r="C232" s="6" t="s">
        <v>159</v>
      </c>
      <c r="D232" s="6" t="s">
        <v>3</v>
      </c>
      <c r="E232" s="6" t="s">
        <v>1</v>
      </c>
      <c r="F232" s="6">
        <v>18709</v>
      </c>
      <c r="G232" s="6">
        <v>100</v>
      </c>
      <c r="H232" s="12">
        <v>3319.9999330000001</v>
      </c>
      <c r="I232" s="6">
        <v>50</v>
      </c>
      <c r="J232" s="11">
        <f>Análises!F232</f>
        <v>3.5180723803345932</v>
      </c>
    </row>
    <row r="233" spans="1:10">
      <c r="A233" s="6" t="s">
        <v>167</v>
      </c>
      <c r="B233" s="7">
        <v>44793</v>
      </c>
      <c r="C233" s="6" t="s">
        <v>159</v>
      </c>
      <c r="D233" s="6" t="s">
        <v>3</v>
      </c>
      <c r="E233" s="6" t="s">
        <v>1</v>
      </c>
      <c r="F233" s="6">
        <v>2479</v>
      </c>
      <c r="G233" s="6">
        <v>50</v>
      </c>
      <c r="H233" s="12">
        <v>1259.99999</v>
      </c>
      <c r="I233" s="6">
        <v>50</v>
      </c>
      <c r="J233" s="11">
        <f>Análises!F233</f>
        <v>10.904761999244142</v>
      </c>
    </row>
    <row r="234" spans="1:10">
      <c r="A234" s="6" t="s">
        <v>167</v>
      </c>
      <c r="B234" s="7">
        <v>44794</v>
      </c>
      <c r="C234" s="6" t="s">
        <v>159</v>
      </c>
      <c r="D234" s="6" t="s">
        <v>3</v>
      </c>
      <c r="E234" s="6" t="s">
        <v>1</v>
      </c>
      <c r="F234" s="6">
        <v>3812</v>
      </c>
      <c r="G234" s="6">
        <v>100</v>
      </c>
      <c r="H234" s="12">
        <v>3049.9999519999997</v>
      </c>
      <c r="I234" s="6">
        <v>50</v>
      </c>
      <c r="J234" s="11">
        <f>Análises!F234</f>
        <v>3.9180328642837963</v>
      </c>
    </row>
    <row r="235" spans="1:10">
      <c r="A235" s="6" t="s">
        <v>167</v>
      </c>
      <c r="B235" s="7">
        <v>44795</v>
      </c>
      <c r="C235" s="6" t="s">
        <v>159</v>
      </c>
      <c r="D235" s="6" t="s">
        <v>3</v>
      </c>
      <c r="E235" s="6" t="s">
        <v>1</v>
      </c>
      <c r="F235" s="6">
        <v>12356</v>
      </c>
      <c r="G235" s="6">
        <v>200</v>
      </c>
      <c r="H235" s="12">
        <v>6279.9999709999993</v>
      </c>
      <c r="I235" s="6">
        <v>50</v>
      </c>
      <c r="J235" s="11">
        <f>Análises!F235</f>
        <v>1.3885350428769934</v>
      </c>
    </row>
    <row r="236" spans="1:10">
      <c r="A236" s="6" t="s">
        <v>167</v>
      </c>
      <c r="B236" s="7">
        <v>44796</v>
      </c>
      <c r="C236" s="6" t="s">
        <v>159</v>
      </c>
      <c r="D236" s="6" t="s">
        <v>3</v>
      </c>
      <c r="E236" s="6" t="s">
        <v>1</v>
      </c>
      <c r="F236" s="6">
        <v>17488</v>
      </c>
      <c r="G236" s="6">
        <v>250</v>
      </c>
      <c r="H236" s="12">
        <v>7719.9999090000001</v>
      </c>
      <c r="I236" s="6">
        <v>50</v>
      </c>
      <c r="J236" s="11">
        <f>Análises!F236</f>
        <v>0.94300520425044987</v>
      </c>
    </row>
    <row r="237" spans="1:10">
      <c r="A237" s="6" t="s">
        <v>167</v>
      </c>
      <c r="B237" s="7">
        <v>44797</v>
      </c>
      <c r="C237" s="6" t="s">
        <v>159</v>
      </c>
      <c r="D237" s="6" t="s">
        <v>3</v>
      </c>
      <c r="E237" s="6" t="s">
        <v>1</v>
      </c>
      <c r="F237" s="6">
        <v>11292</v>
      </c>
      <c r="G237" s="6">
        <v>150</v>
      </c>
      <c r="H237" s="12">
        <v>5389.9998660000001</v>
      </c>
      <c r="I237" s="6">
        <v>100</v>
      </c>
      <c r="J237" s="11">
        <f>Análises!F237</f>
        <v>4.5658628470919522</v>
      </c>
    </row>
    <row r="238" spans="1:10">
      <c r="A238" s="6" t="s">
        <v>167</v>
      </c>
      <c r="B238" s="7">
        <v>44798</v>
      </c>
      <c r="C238" s="6" t="s">
        <v>159</v>
      </c>
      <c r="D238" s="6" t="s">
        <v>3</v>
      </c>
      <c r="E238" s="6" t="s">
        <v>1</v>
      </c>
      <c r="F238" s="6">
        <v>19603</v>
      </c>
      <c r="G238" s="6">
        <v>200</v>
      </c>
      <c r="H238" s="12">
        <v>5279.9999709999993</v>
      </c>
      <c r="I238" s="6">
        <v>100</v>
      </c>
      <c r="J238" s="11">
        <f>Análises!F238</f>
        <v>4.6818182130251387</v>
      </c>
    </row>
    <row r="239" spans="1:10">
      <c r="A239" s="6" t="s">
        <v>167</v>
      </c>
      <c r="B239" s="7">
        <v>44799</v>
      </c>
      <c r="C239" s="6" t="s">
        <v>159</v>
      </c>
      <c r="D239" s="6" t="s">
        <v>3</v>
      </c>
      <c r="E239" s="6" t="s">
        <v>1</v>
      </c>
      <c r="F239" s="6">
        <v>3047</v>
      </c>
      <c r="G239" s="6">
        <v>50</v>
      </c>
      <c r="H239" s="12">
        <v>1379.9999949999999</v>
      </c>
      <c r="I239" s="6">
        <v>50</v>
      </c>
      <c r="J239" s="11">
        <f>Análises!F239</f>
        <v>9.8695652567737877</v>
      </c>
    </row>
    <row r="240" spans="1:10">
      <c r="A240" s="6" t="s">
        <v>167</v>
      </c>
      <c r="B240" s="7">
        <v>44800</v>
      </c>
      <c r="C240" s="6" t="s">
        <v>159</v>
      </c>
      <c r="D240" s="6" t="s">
        <v>3</v>
      </c>
      <c r="E240" s="6" t="s">
        <v>1</v>
      </c>
      <c r="F240" s="6">
        <v>19581</v>
      </c>
      <c r="G240" s="6">
        <v>350</v>
      </c>
      <c r="H240" s="12">
        <v>10429.999830000001</v>
      </c>
      <c r="I240" s="6">
        <v>100</v>
      </c>
      <c r="J240" s="11">
        <f>Análises!F240</f>
        <v>1.8763183594414303</v>
      </c>
    </row>
    <row r="241" spans="1:10">
      <c r="A241" s="6" t="s">
        <v>167</v>
      </c>
      <c r="B241" s="7">
        <v>44801</v>
      </c>
      <c r="C241" s="6" t="s">
        <v>159</v>
      </c>
      <c r="D241" s="6" t="s">
        <v>3</v>
      </c>
      <c r="E241" s="6" t="s">
        <v>1</v>
      </c>
      <c r="F241" s="6">
        <v>23769</v>
      </c>
      <c r="G241" s="6">
        <v>200</v>
      </c>
      <c r="H241" s="12">
        <v>6029.9998520000008</v>
      </c>
      <c r="I241" s="6">
        <v>50</v>
      </c>
      <c r="J241" s="11">
        <f>Análises!F241</f>
        <v>1.487562250109322</v>
      </c>
    </row>
    <row r="242" spans="1:10">
      <c r="A242" s="6" t="s">
        <v>167</v>
      </c>
      <c r="B242" s="7">
        <v>44802</v>
      </c>
      <c r="C242" s="6" t="s">
        <v>159</v>
      </c>
      <c r="D242" s="6" t="s">
        <v>3</v>
      </c>
      <c r="E242" s="6" t="s">
        <v>1</v>
      </c>
      <c r="F242" s="6">
        <v>10090</v>
      </c>
      <c r="G242" s="6">
        <v>100</v>
      </c>
      <c r="H242" s="12">
        <v>2650.0000950000003</v>
      </c>
      <c r="I242" s="6">
        <v>100</v>
      </c>
      <c r="J242" s="11">
        <f>Análises!F242</f>
        <v>10.320754311142769</v>
      </c>
    </row>
    <row r="243" spans="1:10">
      <c r="A243" s="6" t="s">
        <v>167</v>
      </c>
      <c r="B243" s="7">
        <v>44803</v>
      </c>
      <c r="C243" s="6" t="s">
        <v>159</v>
      </c>
      <c r="D243" s="6" t="s">
        <v>3</v>
      </c>
      <c r="E243" s="6" t="s">
        <v>1</v>
      </c>
      <c r="F243" s="6">
        <v>9735</v>
      </c>
      <c r="G243" s="6">
        <v>200</v>
      </c>
      <c r="H243" s="12">
        <v>4130.0001139999995</v>
      </c>
      <c r="I243" s="6">
        <v>100</v>
      </c>
      <c r="J243" s="11">
        <f>Análises!F243</f>
        <v>6.2639223176544458</v>
      </c>
    </row>
    <row r="244" spans="1:10">
      <c r="A244" s="6" t="s">
        <v>167</v>
      </c>
      <c r="B244" s="7">
        <v>44804</v>
      </c>
      <c r="C244" s="6" t="s">
        <v>159</v>
      </c>
      <c r="D244" s="6" t="s">
        <v>3</v>
      </c>
      <c r="E244" s="6" t="s">
        <v>1</v>
      </c>
      <c r="F244" s="6">
        <v>2367</v>
      </c>
      <c r="G244" s="6">
        <v>100</v>
      </c>
      <c r="H244" s="12">
        <v>2839.999914</v>
      </c>
      <c r="I244" s="6">
        <v>100</v>
      </c>
      <c r="J244" s="11">
        <f>Análises!F244</f>
        <v>9.5633806015671592</v>
      </c>
    </row>
    <row r="245" spans="1:10">
      <c r="A245" s="6" t="s">
        <v>167</v>
      </c>
      <c r="B245" s="7">
        <v>44805</v>
      </c>
      <c r="C245" s="6" t="s">
        <v>159</v>
      </c>
      <c r="D245" s="6" t="s">
        <v>3</v>
      </c>
      <c r="E245" s="6" t="s">
        <v>1</v>
      </c>
      <c r="F245" s="6">
        <v>1884</v>
      </c>
      <c r="G245" s="6">
        <v>50</v>
      </c>
      <c r="H245" s="12">
        <v>1409.999967</v>
      </c>
      <c r="I245" s="6">
        <v>50</v>
      </c>
      <c r="J245" s="11">
        <f>Análises!F245</f>
        <v>9.6382981213218706</v>
      </c>
    </row>
    <row r="246" spans="1:10">
      <c r="A246" s="6" t="s">
        <v>167</v>
      </c>
      <c r="B246" s="7">
        <v>44806</v>
      </c>
      <c r="C246" s="6" t="s">
        <v>159</v>
      </c>
      <c r="D246" s="6" t="s">
        <v>3</v>
      </c>
      <c r="E246" s="6" t="s">
        <v>1</v>
      </c>
      <c r="F246" s="6">
        <v>2967</v>
      </c>
      <c r="G246" s="6">
        <v>50</v>
      </c>
      <c r="H246" s="12">
        <v>1500</v>
      </c>
      <c r="I246" s="6">
        <v>100</v>
      </c>
      <c r="J246" s="11">
        <f>Análises!F246</f>
        <v>19</v>
      </c>
    </row>
    <row r="247" spans="1:10">
      <c r="A247" s="6" t="s">
        <v>168</v>
      </c>
      <c r="B247" s="7">
        <v>44807</v>
      </c>
      <c r="C247" s="6" t="s">
        <v>159</v>
      </c>
      <c r="D247" s="6" t="s">
        <v>4</v>
      </c>
      <c r="E247" s="6" t="s">
        <v>5</v>
      </c>
      <c r="F247" s="6">
        <v>73634</v>
      </c>
      <c r="G247" s="6">
        <v>1150</v>
      </c>
      <c r="H247" s="12">
        <v>32979.999779999998</v>
      </c>
      <c r="I247" s="6">
        <v>50</v>
      </c>
      <c r="J247" s="11">
        <f>Análises!F247</f>
        <v>-0.5451788932668088</v>
      </c>
    </row>
    <row r="248" spans="1:10">
      <c r="A248" s="6" t="s">
        <v>168</v>
      </c>
      <c r="B248" s="7">
        <v>44808</v>
      </c>
      <c r="C248" s="6" t="s">
        <v>159</v>
      </c>
      <c r="D248" s="6" t="s">
        <v>4</v>
      </c>
      <c r="E248" s="6" t="s">
        <v>5</v>
      </c>
      <c r="F248" s="6">
        <v>69708</v>
      </c>
      <c r="G248" s="6">
        <v>1000</v>
      </c>
      <c r="H248" s="12">
        <v>31289.999489999998</v>
      </c>
      <c r="I248" s="6">
        <v>50</v>
      </c>
      <c r="J248" s="11">
        <f>Análises!F248</f>
        <v>-0.52061360675976154</v>
      </c>
    </row>
    <row r="249" spans="1:10">
      <c r="A249" s="6" t="s">
        <v>168</v>
      </c>
      <c r="B249" s="7">
        <v>44809</v>
      </c>
      <c r="C249" s="6" t="s">
        <v>159</v>
      </c>
      <c r="D249" s="6" t="s">
        <v>4</v>
      </c>
      <c r="E249" s="6" t="s">
        <v>5</v>
      </c>
      <c r="F249" s="6">
        <v>14257</v>
      </c>
      <c r="G249" s="6">
        <v>300</v>
      </c>
      <c r="H249" s="12">
        <v>8789.9999619999999</v>
      </c>
      <c r="I249" s="6">
        <v>50</v>
      </c>
      <c r="J249" s="11">
        <f>Análises!F249</f>
        <v>0.70648464901551955</v>
      </c>
    </row>
    <row r="250" spans="1:10">
      <c r="A250" s="6" t="s">
        <v>168</v>
      </c>
      <c r="B250" s="7">
        <v>44810</v>
      </c>
      <c r="C250" s="6" t="s">
        <v>159</v>
      </c>
      <c r="D250" s="6" t="s">
        <v>4</v>
      </c>
      <c r="E250" s="6" t="s">
        <v>5</v>
      </c>
      <c r="F250" s="6">
        <v>20362</v>
      </c>
      <c r="G250" s="6">
        <v>250</v>
      </c>
      <c r="H250" s="12">
        <v>9119.9998859999996</v>
      </c>
      <c r="I250" s="6">
        <v>100</v>
      </c>
      <c r="J250" s="11">
        <f>Análises!F250</f>
        <v>2.2894737253289481</v>
      </c>
    </row>
    <row r="251" spans="1:10">
      <c r="A251" s="6" t="s">
        <v>168</v>
      </c>
      <c r="B251" s="7">
        <v>44811</v>
      </c>
      <c r="C251" s="6" t="s">
        <v>159</v>
      </c>
      <c r="D251" s="6" t="s">
        <v>4</v>
      </c>
      <c r="E251" s="6" t="s">
        <v>5</v>
      </c>
      <c r="F251" s="6">
        <v>12215</v>
      </c>
      <c r="G251" s="6">
        <v>200</v>
      </c>
      <c r="H251" s="12">
        <v>6260.0001099999999</v>
      </c>
      <c r="I251" s="6">
        <v>50</v>
      </c>
      <c r="J251" s="11">
        <f>Análises!F251</f>
        <v>1.3961660920801484</v>
      </c>
    </row>
    <row r="252" spans="1:10">
      <c r="A252" s="6" t="s">
        <v>168</v>
      </c>
      <c r="B252" s="7">
        <v>44812</v>
      </c>
      <c r="C252" s="6" t="s">
        <v>159</v>
      </c>
      <c r="D252" s="6" t="s">
        <v>4</v>
      </c>
      <c r="E252" s="6" t="s">
        <v>5</v>
      </c>
      <c r="F252" s="6">
        <v>85412</v>
      </c>
      <c r="G252" s="6">
        <v>1400</v>
      </c>
      <c r="H252" s="12">
        <v>38639.999989999997</v>
      </c>
      <c r="I252" s="6">
        <v>150</v>
      </c>
      <c r="J252" s="11">
        <f>Análises!F252</f>
        <v>0.16459627359332213</v>
      </c>
    </row>
    <row r="253" spans="1:10">
      <c r="A253" s="6" t="s">
        <v>168</v>
      </c>
      <c r="B253" s="7">
        <v>44813</v>
      </c>
      <c r="C253" s="6" t="s">
        <v>159</v>
      </c>
      <c r="D253" s="6" t="s">
        <v>4</v>
      </c>
      <c r="E253" s="6" t="s">
        <v>5</v>
      </c>
      <c r="F253" s="6">
        <v>46150</v>
      </c>
      <c r="G253" s="6">
        <v>750</v>
      </c>
      <c r="H253" s="12">
        <v>20179.999830000001</v>
      </c>
      <c r="I253" s="6">
        <v>100</v>
      </c>
      <c r="J253" s="11">
        <f>Análises!F253</f>
        <v>0.48662042877727807</v>
      </c>
    </row>
    <row r="254" spans="1:10">
      <c r="A254" s="6" t="s">
        <v>168</v>
      </c>
      <c r="B254" s="7">
        <v>44814</v>
      </c>
      <c r="C254" s="6" t="s">
        <v>159</v>
      </c>
      <c r="D254" s="6" t="s">
        <v>4</v>
      </c>
      <c r="E254" s="6" t="s">
        <v>5</v>
      </c>
      <c r="F254" s="6">
        <v>493821</v>
      </c>
      <c r="G254" s="6">
        <v>5800</v>
      </c>
      <c r="H254" s="12">
        <v>176379.99769999998</v>
      </c>
      <c r="I254" s="6">
        <v>250</v>
      </c>
      <c r="J254" s="11">
        <f>Análises!F254</f>
        <v>-0.57478171573873416</v>
      </c>
    </row>
    <row r="255" spans="1:10">
      <c r="A255" s="6" t="s">
        <v>168</v>
      </c>
      <c r="B255" s="7">
        <v>44815</v>
      </c>
      <c r="C255" s="6" t="s">
        <v>159</v>
      </c>
      <c r="D255" s="6" t="s">
        <v>4</v>
      </c>
      <c r="E255" s="6" t="s">
        <v>5</v>
      </c>
      <c r="F255" s="6">
        <v>92011</v>
      </c>
      <c r="G255" s="6">
        <v>1350</v>
      </c>
      <c r="H255" s="12">
        <v>34390.000460000003</v>
      </c>
      <c r="I255" s="6">
        <v>150</v>
      </c>
      <c r="J255" s="11">
        <f>Análises!F255</f>
        <v>0.3085199010782449</v>
      </c>
    </row>
    <row r="256" spans="1:10">
      <c r="A256" s="6" t="s">
        <v>168</v>
      </c>
      <c r="B256" s="7">
        <v>44816</v>
      </c>
      <c r="C256" s="6" t="s">
        <v>159</v>
      </c>
      <c r="D256" s="6" t="s">
        <v>4</v>
      </c>
      <c r="E256" s="6" t="s">
        <v>5</v>
      </c>
      <c r="F256" s="6">
        <v>12956</v>
      </c>
      <c r="G256" s="6">
        <v>200</v>
      </c>
      <c r="H256" s="12">
        <v>5490.0000099999997</v>
      </c>
      <c r="I256" s="6">
        <v>100</v>
      </c>
      <c r="J256" s="11">
        <f>Análises!F256</f>
        <v>4.4644808643634235</v>
      </c>
    </row>
    <row r="257" spans="1:10">
      <c r="A257" s="6" t="s">
        <v>168</v>
      </c>
      <c r="B257" s="7">
        <v>44817</v>
      </c>
      <c r="C257" s="6" t="s">
        <v>159</v>
      </c>
      <c r="D257" s="6" t="s">
        <v>4</v>
      </c>
      <c r="E257" s="6" t="s">
        <v>5</v>
      </c>
      <c r="F257" s="6">
        <v>944</v>
      </c>
      <c r="G257" s="6">
        <v>50</v>
      </c>
      <c r="H257" s="12">
        <v>1419.999957</v>
      </c>
      <c r="I257" s="6">
        <v>50</v>
      </c>
      <c r="J257" s="11">
        <f>Análises!F257</f>
        <v>9.5633806015671592</v>
      </c>
    </row>
    <row r="258" spans="1:10">
      <c r="A258" s="6" t="s">
        <v>168</v>
      </c>
      <c r="B258" s="7">
        <v>44818</v>
      </c>
      <c r="C258" s="6" t="s">
        <v>159</v>
      </c>
      <c r="D258" s="6" t="s">
        <v>4</v>
      </c>
      <c r="E258" s="6" t="s">
        <v>5</v>
      </c>
      <c r="F258" s="6">
        <v>111090</v>
      </c>
      <c r="G258" s="6">
        <v>1900</v>
      </c>
      <c r="H258" s="12">
        <v>51970.000269999997</v>
      </c>
      <c r="I258" s="6">
        <v>300</v>
      </c>
      <c r="J258" s="11">
        <f>Análises!F258</f>
        <v>0.73176831888440563</v>
      </c>
    </row>
    <row r="259" spans="1:10">
      <c r="A259" s="6" t="s">
        <v>168</v>
      </c>
      <c r="B259" s="7">
        <v>44819</v>
      </c>
      <c r="C259" s="6" t="s">
        <v>159</v>
      </c>
      <c r="D259" s="6" t="s">
        <v>4</v>
      </c>
      <c r="E259" s="6" t="s">
        <v>5</v>
      </c>
      <c r="F259" s="6">
        <v>18602</v>
      </c>
      <c r="G259" s="6">
        <v>250</v>
      </c>
      <c r="H259" s="12">
        <v>8860.0001339999999</v>
      </c>
      <c r="I259" s="6">
        <v>50</v>
      </c>
      <c r="J259" s="11">
        <f>Análises!F259</f>
        <v>0.69300223173111752</v>
      </c>
    </row>
    <row r="260" spans="1:10">
      <c r="A260" s="6" t="s">
        <v>168</v>
      </c>
      <c r="B260" s="7">
        <v>44820</v>
      </c>
      <c r="C260" s="6" t="s">
        <v>159</v>
      </c>
      <c r="D260" s="6" t="s">
        <v>4</v>
      </c>
      <c r="E260" s="6" t="s">
        <v>5</v>
      </c>
      <c r="F260" s="6">
        <v>83929</v>
      </c>
      <c r="G260" s="6">
        <v>1050</v>
      </c>
      <c r="H260" s="12">
        <v>27729.999540000001</v>
      </c>
      <c r="I260" s="6">
        <v>250</v>
      </c>
      <c r="J260" s="11">
        <f>Análises!F260</f>
        <v>1.7046520463086887</v>
      </c>
    </row>
    <row r="261" spans="1:10">
      <c r="A261" s="6" t="s">
        <v>168</v>
      </c>
      <c r="B261" s="7">
        <v>44821</v>
      </c>
      <c r="C261" s="6" t="s">
        <v>159</v>
      </c>
      <c r="D261" s="6" t="s">
        <v>4</v>
      </c>
      <c r="E261" s="6" t="s">
        <v>5</v>
      </c>
      <c r="F261" s="6">
        <v>25194</v>
      </c>
      <c r="G261" s="6">
        <v>300</v>
      </c>
      <c r="H261" s="12">
        <v>7349.9999049999997</v>
      </c>
      <c r="I261" s="6">
        <v>50</v>
      </c>
      <c r="J261" s="11">
        <f>Análises!F261</f>
        <v>1.0408163529085108</v>
      </c>
    </row>
    <row r="262" spans="1:10">
      <c r="A262" s="6" t="s">
        <v>168</v>
      </c>
      <c r="B262" s="7">
        <v>44822</v>
      </c>
      <c r="C262" s="6" t="s">
        <v>159</v>
      </c>
      <c r="D262" s="6" t="s">
        <v>4</v>
      </c>
      <c r="E262" s="6" t="s">
        <v>5</v>
      </c>
      <c r="F262" s="6">
        <v>78627</v>
      </c>
      <c r="G262" s="6">
        <v>950</v>
      </c>
      <c r="H262" s="12">
        <v>26530.00045</v>
      </c>
      <c r="I262" s="6">
        <v>50</v>
      </c>
      <c r="J262" s="11">
        <f>Análises!F262</f>
        <v>-0.4346023465672425</v>
      </c>
    </row>
    <row r="263" spans="1:10">
      <c r="A263" s="6" t="s">
        <v>168</v>
      </c>
      <c r="B263" s="7">
        <v>44823</v>
      </c>
      <c r="C263" s="6" t="s">
        <v>159</v>
      </c>
      <c r="D263" s="6" t="s">
        <v>4</v>
      </c>
      <c r="E263" s="6" t="s">
        <v>5</v>
      </c>
      <c r="F263" s="6">
        <v>102695</v>
      </c>
      <c r="G263" s="6">
        <v>1250</v>
      </c>
      <c r="H263" s="12">
        <v>39429.999830000001</v>
      </c>
      <c r="I263" s="6">
        <v>150</v>
      </c>
      <c r="J263" s="11">
        <f>Análises!F263</f>
        <v>0.14126300263795866</v>
      </c>
    </row>
    <row r="264" spans="1:10">
      <c r="A264" s="6" t="s">
        <v>168</v>
      </c>
      <c r="B264" s="7">
        <v>44824</v>
      </c>
      <c r="C264" s="6" t="s">
        <v>159</v>
      </c>
      <c r="D264" s="6" t="s">
        <v>4</v>
      </c>
      <c r="E264" s="6" t="s">
        <v>5</v>
      </c>
      <c r="F264" s="6">
        <v>82827</v>
      </c>
      <c r="G264" s="6">
        <v>1200</v>
      </c>
      <c r="H264" s="12">
        <v>47930.000309999996</v>
      </c>
      <c r="I264" s="6">
        <v>150</v>
      </c>
      <c r="J264" s="11">
        <f>Análises!F264</f>
        <v>-6.1130821845387887E-2</v>
      </c>
    </row>
    <row r="265" spans="1:10">
      <c r="A265" s="6" t="s">
        <v>168</v>
      </c>
      <c r="B265" s="7">
        <v>44825</v>
      </c>
      <c r="C265" s="6" t="s">
        <v>159</v>
      </c>
      <c r="D265" s="6" t="s">
        <v>4</v>
      </c>
      <c r="E265" s="6" t="s">
        <v>5</v>
      </c>
      <c r="F265" s="6">
        <v>9240</v>
      </c>
      <c r="G265" s="6">
        <v>150</v>
      </c>
      <c r="H265" s="12">
        <v>6039.9999619999999</v>
      </c>
      <c r="I265" s="6">
        <v>50</v>
      </c>
      <c r="J265" s="11">
        <f>Análises!F265</f>
        <v>1.4834437242335865</v>
      </c>
    </row>
    <row r="266" spans="1:10">
      <c r="A266" s="6" t="s">
        <v>168</v>
      </c>
      <c r="B266" s="7">
        <v>44826</v>
      </c>
      <c r="C266" s="6" t="s">
        <v>159</v>
      </c>
      <c r="D266" s="6" t="s">
        <v>4</v>
      </c>
      <c r="E266" s="6" t="s">
        <v>5</v>
      </c>
      <c r="F266" s="6">
        <v>7706</v>
      </c>
      <c r="G266" s="6">
        <v>100</v>
      </c>
      <c r="H266" s="12">
        <v>2369.9998860000001</v>
      </c>
      <c r="I266" s="6">
        <v>50</v>
      </c>
      <c r="J266" s="11">
        <f>Análises!F266</f>
        <v>5.3291142284890389</v>
      </c>
    </row>
    <row r="267" spans="1:10">
      <c r="A267" s="6" t="s">
        <v>168</v>
      </c>
      <c r="B267" s="7">
        <v>44827</v>
      </c>
      <c r="C267" s="6" t="s">
        <v>159</v>
      </c>
      <c r="D267" s="6" t="s">
        <v>4</v>
      </c>
      <c r="E267" s="6" t="s">
        <v>5</v>
      </c>
      <c r="F267" s="6">
        <v>7821</v>
      </c>
      <c r="G267" s="6">
        <v>200</v>
      </c>
      <c r="H267" s="12">
        <v>6340.000153</v>
      </c>
      <c r="I267" s="6">
        <v>100</v>
      </c>
      <c r="J267" s="11">
        <f>Análises!F267</f>
        <v>3.7318610845465701</v>
      </c>
    </row>
    <row r="268" spans="1:10">
      <c r="A268" s="6" t="s">
        <v>168</v>
      </c>
      <c r="B268" s="7">
        <v>44828</v>
      </c>
      <c r="C268" s="6" t="s">
        <v>159</v>
      </c>
      <c r="D268" s="6" t="s">
        <v>4</v>
      </c>
      <c r="E268" s="6" t="s">
        <v>5</v>
      </c>
      <c r="F268" s="6">
        <v>119063</v>
      </c>
      <c r="G268" s="6">
        <v>1700</v>
      </c>
      <c r="H268" s="12">
        <v>53219.999490000002</v>
      </c>
      <c r="I268" s="6">
        <v>50</v>
      </c>
      <c r="J268" s="11">
        <f>Análises!F268</f>
        <v>-0.7181510683250103</v>
      </c>
    </row>
    <row r="269" spans="1:10">
      <c r="A269" s="6" t="s">
        <v>168</v>
      </c>
      <c r="B269" s="7">
        <v>44829</v>
      </c>
      <c r="C269" s="6" t="s">
        <v>159</v>
      </c>
      <c r="D269" s="6" t="s">
        <v>4</v>
      </c>
      <c r="E269" s="6" t="s">
        <v>5</v>
      </c>
      <c r="F269" s="6">
        <v>99078</v>
      </c>
      <c r="G269" s="6">
        <v>1150</v>
      </c>
      <c r="H269" s="12">
        <v>35799.999479999999</v>
      </c>
      <c r="I269" s="6">
        <v>100</v>
      </c>
      <c r="J269" s="11">
        <f>Análises!F269</f>
        <v>-0.16201116101245258</v>
      </c>
    </row>
    <row r="270" spans="1:10">
      <c r="A270" s="6" t="s">
        <v>168</v>
      </c>
      <c r="B270" s="7">
        <v>44830</v>
      </c>
      <c r="C270" s="6" t="s">
        <v>159</v>
      </c>
      <c r="D270" s="6" t="s">
        <v>4</v>
      </c>
      <c r="E270" s="6" t="s">
        <v>5</v>
      </c>
      <c r="F270" s="6">
        <v>452398</v>
      </c>
      <c r="G270" s="6">
        <v>5700</v>
      </c>
      <c r="H270" s="12">
        <v>180220.0012</v>
      </c>
      <c r="I270" s="6">
        <v>50</v>
      </c>
      <c r="J270" s="11">
        <f>Análises!F270</f>
        <v>-0.91676839473908511</v>
      </c>
    </row>
    <row r="271" spans="1:10">
      <c r="A271" s="6" t="s">
        <v>168</v>
      </c>
      <c r="B271" s="7">
        <v>44831</v>
      </c>
      <c r="C271" s="6" t="s">
        <v>159</v>
      </c>
      <c r="D271" s="6" t="s">
        <v>4</v>
      </c>
      <c r="E271" s="6" t="s">
        <v>5</v>
      </c>
      <c r="F271" s="6">
        <v>191223</v>
      </c>
      <c r="G271" s="6">
        <v>2400</v>
      </c>
      <c r="H271" s="12">
        <v>76410.00056</v>
      </c>
      <c r="I271" s="6">
        <v>50</v>
      </c>
      <c r="J271" s="11">
        <f>Análises!F271</f>
        <v>-0.80369061785019313</v>
      </c>
    </row>
    <row r="272" spans="1:10">
      <c r="A272" s="6" t="s">
        <v>168</v>
      </c>
      <c r="B272" s="7">
        <v>44832</v>
      </c>
      <c r="C272" s="6" t="s">
        <v>159</v>
      </c>
      <c r="D272" s="6" t="s">
        <v>4</v>
      </c>
      <c r="E272" s="6" t="s">
        <v>5</v>
      </c>
      <c r="F272" s="6">
        <v>22216</v>
      </c>
      <c r="G272" s="6">
        <v>300</v>
      </c>
      <c r="H272" s="12">
        <v>9549.9999520000001</v>
      </c>
      <c r="I272" s="6">
        <v>50</v>
      </c>
      <c r="J272" s="11">
        <f>Análises!F272</f>
        <v>0.57068063616677178</v>
      </c>
    </row>
    <row r="273" spans="1:10">
      <c r="A273" s="6" t="s">
        <v>168</v>
      </c>
      <c r="B273" s="7">
        <v>44833</v>
      </c>
      <c r="C273" s="6" t="s">
        <v>159</v>
      </c>
      <c r="D273" s="6" t="s">
        <v>4</v>
      </c>
      <c r="E273" s="6" t="s">
        <v>5</v>
      </c>
      <c r="F273" s="6">
        <v>48291</v>
      </c>
      <c r="G273" s="6">
        <v>550</v>
      </c>
      <c r="H273" s="12">
        <v>18019.999980000001</v>
      </c>
      <c r="I273" s="6">
        <v>50</v>
      </c>
      <c r="J273" s="11">
        <f>Análises!F273</f>
        <v>-0.16759156400398623</v>
      </c>
    </row>
    <row r="274" spans="1:10">
      <c r="A274" s="6" t="s">
        <v>168</v>
      </c>
      <c r="B274" s="7">
        <v>44834</v>
      </c>
      <c r="C274" s="6" t="s">
        <v>159</v>
      </c>
      <c r="D274" s="6" t="s">
        <v>4</v>
      </c>
      <c r="E274" s="6" t="s">
        <v>5</v>
      </c>
      <c r="F274" s="6">
        <v>10194</v>
      </c>
      <c r="G274" s="6">
        <v>200</v>
      </c>
      <c r="H274" s="12">
        <v>4590.0000330000003</v>
      </c>
      <c r="I274" s="6">
        <v>150</v>
      </c>
      <c r="J274" s="11">
        <f>Análises!F274</f>
        <v>8.8039214981417402</v>
      </c>
    </row>
    <row r="275" spans="1:10">
      <c r="A275" s="6" t="s">
        <v>168</v>
      </c>
      <c r="B275" s="7">
        <v>44835</v>
      </c>
      <c r="C275" s="6" t="s">
        <v>159</v>
      </c>
      <c r="D275" s="6" t="s">
        <v>4</v>
      </c>
      <c r="E275" s="6" t="s">
        <v>5</v>
      </c>
      <c r="F275" s="6">
        <v>40126</v>
      </c>
      <c r="G275" s="6">
        <v>800</v>
      </c>
      <c r="H275" s="12">
        <v>25860.00001</v>
      </c>
      <c r="I275" s="6">
        <v>50</v>
      </c>
      <c r="J275" s="11">
        <f>Análises!F275</f>
        <v>-0.41995359651200559</v>
      </c>
    </row>
    <row r="276" spans="1:10">
      <c r="A276" s="6" t="s">
        <v>168</v>
      </c>
      <c r="B276" s="7">
        <v>44836</v>
      </c>
      <c r="C276" s="6" t="s">
        <v>159</v>
      </c>
      <c r="D276" s="6" t="s">
        <v>4</v>
      </c>
      <c r="E276" s="6" t="s">
        <v>5</v>
      </c>
      <c r="F276" s="6">
        <v>3659</v>
      </c>
      <c r="G276" s="6">
        <v>50</v>
      </c>
      <c r="H276" s="12">
        <v>490.00000999999997</v>
      </c>
      <c r="I276" s="6">
        <v>100</v>
      </c>
      <c r="J276" s="11">
        <f>Análises!F276</f>
        <v>60.224488546439012</v>
      </c>
    </row>
    <row r="277" spans="1:10">
      <c r="A277" s="6" t="s">
        <v>168</v>
      </c>
      <c r="B277" s="7">
        <v>44837</v>
      </c>
      <c r="C277" s="6" t="s">
        <v>159</v>
      </c>
      <c r="D277" s="6" t="s">
        <v>4</v>
      </c>
      <c r="E277" s="6" t="s">
        <v>5</v>
      </c>
      <c r="F277" s="6">
        <v>7550</v>
      </c>
      <c r="G277" s="6">
        <v>50</v>
      </c>
      <c r="H277" s="12">
        <v>1679.9999480000001</v>
      </c>
      <c r="I277" s="6">
        <v>100</v>
      </c>
      <c r="J277" s="11">
        <f>Análises!F277</f>
        <v>16.857143409863962</v>
      </c>
    </row>
    <row r="278" spans="1:10">
      <c r="A278" s="6" t="s">
        <v>168</v>
      </c>
      <c r="B278" s="7">
        <v>44838</v>
      </c>
      <c r="C278" s="6" t="s">
        <v>159</v>
      </c>
      <c r="D278" s="6" t="s">
        <v>4</v>
      </c>
      <c r="E278" s="6" t="s">
        <v>5</v>
      </c>
      <c r="F278" s="6">
        <v>45397</v>
      </c>
      <c r="G278" s="6">
        <v>750</v>
      </c>
      <c r="H278" s="12">
        <v>25419.999359999998</v>
      </c>
      <c r="I278" s="6">
        <v>100</v>
      </c>
      <c r="J278" s="11">
        <f>Análises!F278</f>
        <v>0.1801731217667506</v>
      </c>
    </row>
    <row r="279" spans="1:10">
      <c r="A279" s="6" t="s">
        <v>168</v>
      </c>
      <c r="B279" s="7">
        <v>44839</v>
      </c>
      <c r="C279" s="6" t="s">
        <v>159</v>
      </c>
      <c r="D279" s="6" t="s">
        <v>4</v>
      </c>
      <c r="E279" s="6" t="s">
        <v>5</v>
      </c>
      <c r="F279" s="6">
        <v>175389</v>
      </c>
      <c r="G279" s="6">
        <v>2750</v>
      </c>
      <c r="H279" s="12">
        <v>81609.997870000007</v>
      </c>
      <c r="I279" s="6">
        <v>50</v>
      </c>
      <c r="J279" s="11">
        <f>Análises!F279</f>
        <v>-0.81619899042401489</v>
      </c>
    </row>
    <row r="280" spans="1:10">
      <c r="A280" s="6" t="s">
        <v>168</v>
      </c>
      <c r="B280" s="7">
        <v>44840</v>
      </c>
      <c r="C280" s="6" t="s">
        <v>159</v>
      </c>
      <c r="D280" s="6" t="s">
        <v>4</v>
      </c>
      <c r="E280" s="6" t="s">
        <v>5</v>
      </c>
      <c r="F280" s="6">
        <v>12706</v>
      </c>
      <c r="G280" s="6">
        <v>150</v>
      </c>
      <c r="H280" s="12">
        <v>4989.9998900000001</v>
      </c>
      <c r="I280" s="6">
        <v>100</v>
      </c>
      <c r="J280" s="11">
        <f>Análises!F280</f>
        <v>5.0120241806257839</v>
      </c>
    </row>
    <row r="281" spans="1:10">
      <c r="A281" s="6" t="s">
        <v>168</v>
      </c>
      <c r="B281" s="7">
        <v>44841</v>
      </c>
      <c r="C281" s="6" t="s">
        <v>159</v>
      </c>
      <c r="D281" s="6" t="s">
        <v>4</v>
      </c>
      <c r="E281" s="6" t="s">
        <v>5</v>
      </c>
      <c r="F281" s="6">
        <v>70702</v>
      </c>
      <c r="G281" s="6">
        <v>1000</v>
      </c>
      <c r="H281" s="12">
        <v>31709.999799999998</v>
      </c>
      <c r="I281" s="6">
        <v>50</v>
      </c>
      <c r="J281" s="11">
        <f>Análises!F281</f>
        <v>-0.52696310013852476</v>
      </c>
    </row>
    <row r="282" spans="1:10">
      <c r="A282" s="6" t="s">
        <v>168</v>
      </c>
      <c r="B282" s="7">
        <v>44842</v>
      </c>
      <c r="C282" s="6" t="s">
        <v>159</v>
      </c>
      <c r="D282" s="6" t="s">
        <v>4</v>
      </c>
      <c r="E282" s="6" t="s">
        <v>5</v>
      </c>
      <c r="F282" s="6">
        <v>63927</v>
      </c>
      <c r="G282" s="6">
        <v>800</v>
      </c>
      <c r="H282" s="12">
        <v>25520.000459999999</v>
      </c>
      <c r="I282" s="6">
        <v>100</v>
      </c>
      <c r="J282" s="11">
        <f>Análises!F282</f>
        <v>0.17554856815233774</v>
      </c>
    </row>
    <row r="283" spans="1:10">
      <c r="A283" s="6" t="s">
        <v>168</v>
      </c>
      <c r="B283" s="7">
        <v>44843</v>
      </c>
      <c r="C283" s="6" t="s">
        <v>159</v>
      </c>
      <c r="D283" s="6" t="s">
        <v>4</v>
      </c>
      <c r="E283" s="6" t="s">
        <v>5</v>
      </c>
      <c r="F283" s="6">
        <v>15105</v>
      </c>
      <c r="G283" s="6">
        <v>150</v>
      </c>
      <c r="H283" s="12">
        <v>4259.9999900000003</v>
      </c>
      <c r="I283" s="6">
        <v>50</v>
      </c>
      <c r="J283" s="11">
        <f>Análises!F283</f>
        <v>2.5211267688289358</v>
      </c>
    </row>
    <row r="284" spans="1:10">
      <c r="A284" s="6" t="s">
        <v>168</v>
      </c>
      <c r="B284" s="7">
        <v>44844</v>
      </c>
      <c r="C284" s="6" t="s">
        <v>159</v>
      </c>
      <c r="D284" s="6" t="s">
        <v>4</v>
      </c>
      <c r="E284" s="6" t="s">
        <v>5</v>
      </c>
      <c r="F284" s="6">
        <v>162341</v>
      </c>
      <c r="G284" s="6">
        <v>2800</v>
      </c>
      <c r="H284" s="12">
        <v>77079.999689999997</v>
      </c>
      <c r="I284" s="6">
        <v>150</v>
      </c>
      <c r="J284" s="11">
        <f>Análises!F284</f>
        <v>-0.41619096807238193</v>
      </c>
    </row>
    <row r="285" spans="1:10">
      <c r="A285" s="6" t="s">
        <v>168</v>
      </c>
      <c r="B285" s="7">
        <v>44845</v>
      </c>
      <c r="C285" s="6" t="s">
        <v>159</v>
      </c>
      <c r="D285" s="6" t="s">
        <v>4</v>
      </c>
      <c r="E285" s="6" t="s">
        <v>5</v>
      </c>
      <c r="F285" s="6">
        <v>24542</v>
      </c>
      <c r="G285" s="6">
        <v>350</v>
      </c>
      <c r="H285" s="12">
        <v>9329.9999239999997</v>
      </c>
      <c r="I285" s="6">
        <v>50</v>
      </c>
      <c r="J285" s="11">
        <f>Análises!F285</f>
        <v>0.60771705489673056</v>
      </c>
    </row>
    <row r="286" spans="1:10">
      <c r="A286" s="6" t="s">
        <v>168</v>
      </c>
      <c r="B286" s="7">
        <v>44846</v>
      </c>
      <c r="C286" s="6" t="s">
        <v>159</v>
      </c>
      <c r="D286" s="6" t="s">
        <v>4</v>
      </c>
      <c r="E286" s="6" t="s">
        <v>5</v>
      </c>
      <c r="F286" s="6">
        <v>17167</v>
      </c>
      <c r="G286" s="6">
        <v>250</v>
      </c>
      <c r="H286" s="12">
        <v>6910.000086</v>
      </c>
      <c r="I286" s="6">
        <v>50</v>
      </c>
      <c r="J286" s="11">
        <f>Análises!F286</f>
        <v>1.1707669773247524</v>
      </c>
    </row>
    <row r="287" spans="1:10">
      <c r="A287" s="6" t="s">
        <v>168</v>
      </c>
      <c r="B287" s="7">
        <v>44847</v>
      </c>
      <c r="C287" s="6" t="s">
        <v>159</v>
      </c>
      <c r="D287" s="6" t="s">
        <v>4</v>
      </c>
      <c r="E287" s="6" t="s">
        <v>5</v>
      </c>
      <c r="F287" s="6">
        <v>16053</v>
      </c>
      <c r="G287" s="6">
        <v>150</v>
      </c>
      <c r="H287" s="12">
        <v>4079.9999240000002</v>
      </c>
      <c r="I287" s="6">
        <v>100</v>
      </c>
      <c r="J287" s="11">
        <f>Análises!F287</f>
        <v>6.3529413134371415</v>
      </c>
    </row>
    <row r="288" spans="1:10">
      <c r="A288" s="6" t="s">
        <v>168</v>
      </c>
      <c r="B288" s="7">
        <v>44848</v>
      </c>
      <c r="C288" s="6" t="s">
        <v>159</v>
      </c>
      <c r="D288" s="6" t="s">
        <v>4</v>
      </c>
      <c r="E288" s="6" t="s">
        <v>5</v>
      </c>
      <c r="F288" s="6">
        <v>54724</v>
      </c>
      <c r="G288" s="6">
        <v>600</v>
      </c>
      <c r="H288" s="12">
        <v>17929.999949999998</v>
      </c>
      <c r="I288" s="6">
        <v>100</v>
      </c>
      <c r="J288" s="11">
        <f>Análises!F288</f>
        <v>0.67317345698040587</v>
      </c>
    </row>
    <row r="289" spans="1:10">
      <c r="A289" s="6" t="s">
        <v>168</v>
      </c>
      <c r="B289" s="7">
        <v>44849</v>
      </c>
      <c r="C289" s="6" t="s">
        <v>159</v>
      </c>
      <c r="D289" s="6" t="s">
        <v>4</v>
      </c>
      <c r="E289" s="6" t="s">
        <v>5</v>
      </c>
      <c r="F289" s="6">
        <v>115896</v>
      </c>
      <c r="G289" s="6">
        <v>1900</v>
      </c>
      <c r="H289" s="12">
        <v>49440.000060000006</v>
      </c>
      <c r="I289" s="6">
        <v>50</v>
      </c>
      <c r="J289" s="11">
        <f>Análises!F289</f>
        <v>-0.69660194211577442</v>
      </c>
    </row>
    <row r="290" spans="1:10">
      <c r="A290" s="6" t="s">
        <v>168</v>
      </c>
      <c r="B290" s="7">
        <v>44850</v>
      </c>
      <c r="C290" s="6" t="s">
        <v>159</v>
      </c>
      <c r="D290" s="6" t="s">
        <v>4</v>
      </c>
      <c r="E290" s="6" t="s">
        <v>5</v>
      </c>
      <c r="F290" s="6">
        <v>104578</v>
      </c>
      <c r="G290" s="6">
        <v>1450</v>
      </c>
      <c r="H290" s="12">
        <v>39250.000950000001</v>
      </c>
      <c r="I290" s="6">
        <v>100</v>
      </c>
      <c r="J290" s="11">
        <f>Análises!F290</f>
        <v>-0.23566880830865308</v>
      </c>
    </row>
    <row r="291" spans="1:10">
      <c r="A291" s="6" t="s">
        <v>168</v>
      </c>
      <c r="B291" s="7">
        <v>44851</v>
      </c>
      <c r="C291" s="6" t="s">
        <v>159</v>
      </c>
      <c r="D291" s="6" t="s">
        <v>4</v>
      </c>
      <c r="E291" s="6" t="s">
        <v>5</v>
      </c>
      <c r="F291" s="6">
        <v>33664</v>
      </c>
      <c r="G291" s="6">
        <v>550</v>
      </c>
      <c r="H291" s="12">
        <v>12510.00035</v>
      </c>
      <c r="I291" s="6">
        <v>50</v>
      </c>
      <c r="J291" s="11">
        <f>Análises!F291</f>
        <v>0.1990407338397876</v>
      </c>
    </row>
    <row r="292" spans="1:10">
      <c r="A292" s="6" t="s">
        <v>168</v>
      </c>
      <c r="B292" s="7">
        <v>44852</v>
      </c>
      <c r="C292" s="6" t="s">
        <v>159</v>
      </c>
      <c r="D292" s="6" t="s">
        <v>4</v>
      </c>
      <c r="E292" s="6" t="s">
        <v>5</v>
      </c>
      <c r="F292" s="6">
        <v>5307</v>
      </c>
      <c r="G292" s="6">
        <v>150</v>
      </c>
      <c r="H292" s="12">
        <v>4289.9999619999999</v>
      </c>
      <c r="I292" s="6">
        <v>150</v>
      </c>
      <c r="J292" s="11">
        <f>Análises!F292</f>
        <v>9.48951058242457</v>
      </c>
    </row>
    <row r="293" spans="1:10">
      <c r="A293" s="6" t="s">
        <v>168</v>
      </c>
      <c r="B293" s="7">
        <v>44853</v>
      </c>
      <c r="C293" s="6" t="s">
        <v>159</v>
      </c>
      <c r="D293" s="6" t="s">
        <v>4</v>
      </c>
      <c r="E293" s="6" t="s">
        <v>5</v>
      </c>
      <c r="F293" s="6">
        <v>24028</v>
      </c>
      <c r="G293" s="6">
        <v>450</v>
      </c>
      <c r="H293" s="12">
        <v>12390.000340000001</v>
      </c>
      <c r="I293" s="6">
        <v>100</v>
      </c>
      <c r="J293" s="11">
        <f>Análises!F293</f>
        <v>1.4213074396089969</v>
      </c>
    </row>
    <row r="294" spans="1:10">
      <c r="A294" s="6" t="s">
        <v>168</v>
      </c>
      <c r="B294" s="7">
        <v>44854</v>
      </c>
      <c r="C294" s="6" t="s">
        <v>159</v>
      </c>
      <c r="D294" s="6" t="s">
        <v>4</v>
      </c>
      <c r="E294" s="6" t="s">
        <v>5</v>
      </c>
      <c r="F294" s="6">
        <v>7589</v>
      </c>
      <c r="G294" s="6">
        <v>100</v>
      </c>
      <c r="H294" s="12">
        <v>3150.0000950000003</v>
      </c>
      <c r="I294" s="6">
        <v>100</v>
      </c>
      <c r="J294" s="11">
        <f>Análises!F294</f>
        <v>8.5238092365835296</v>
      </c>
    </row>
    <row r="295" spans="1:10">
      <c r="A295" s="6" t="s">
        <v>168</v>
      </c>
      <c r="B295" s="7">
        <v>44855</v>
      </c>
      <c r="C295" s="6" t="s">
        <v>159</v>
      </c>
      <c r="D295" s="6" t="s">
        <v>4</v>
      </c>
      <c r="E295" s="6" t="s">
        <v>5</v>
      </c>
      <c r="F295" s="6">
        <v>20997</v>
      </c>
      <c r="G295" s="6">
        <v>500</v>
      </c>
      <c r="H295" s="12">
        <v>11949.999809999999</v>
      </c>
      <c r="I295" s="6">
        <v>50</v>
      </c>
      <c r="J295" s="11">
        <f>Análises!F295</f>
        <v>0.25523014548064671</v>
      </c>
    </row>
    <row r="296" spans="1:10">
      <c r="A296" s="6" t="s">
        <v>168</v>
      </c>
      <c r="B296" s="7">
        <v>44856</v>
      </c>
      <c r="C296" s="6" t="s">
        <v>159</v>
      </c>
      <c r="D296" s="6" t="s">
        <v>4</v>
      </c>
      <c r="E296" s="6" t="s">
        <v>5</v>
      </c>
      <c r="F296" s="6">
        <v>4617</v>
      </c>
      <c r="G296" s="6">
        <v>50</v>
      </c>
      <c r="H296" s="12">
        <v>1360.000014</v>
      </c>
      <c r="I296" s="6">
        <v>50</v>
      </c>
      <c r="J296" s="11">
        <f>Análises!F296</f>
        <v>10.029411651167822</v>
      </c>
    </row>
    <row r="297" spans="1:10">
      <c r="A297" s="6" t="s">
        <v>168</v>
      </c>
      <c r="B297" s="7">
        <v>44857</v>
      </c>
      <c r="C297" s="6" t="s">
        <v>159</v>
      </c>
      <c r="D297" s="6" t="s">
        <v>4</v>
      </c>
      <c r="E297" s="6" t="s">
        <v>5</v>
      </c>
      <c r="F297" s="6">
        <v>10677</v>
      </c>
      <c r="G297" s="6">
        <v>250</v>
      </c>
      <c r="H297" s="12">
        <v>7269.9999809999999</v>
      </c>
      <c r="I297" s="6">
        <v>50</v>
      </c>
      <c r="J297" s="11">
        <f>Análises!F297</f>
        <v>1.0632737330401927</v>
      </c>
    </row>
    <row r="298" spans="1:10">
      <c r="A298" s="6" t="s">
        <v>168</v>
      </c>
      <c r="B298" s="7">
        <v>44858</v>
      </c>
      <c r="C298" s="6" t="s">
        <v>159</v>
      </c>
      <c r="D298" s="6" t="s">
        <v>4</v>
      </c>
      <c r="E298" s="6" t="s">
        <v>5</v>
      </c>
      <c r="F298" s="6">
        <v>3277</v>
      </c>
      <c r="G298" s="6">
        <v>100</v>
      </c>
      <c r="H298" s="12">
        <v>2680.0000669999999</v>
      </c>
      <c r="I298" s="6">
        <v>50</v>
      </c>
      <c r="J298" s="11">
        <f>Análises!F298</f>
        <v>4.5970147854477643</v>
      </c>
    </row>
    <row r="299" spans="1:10">
      <c r="A299" s="6" t="s">
        <v>168</v>
      </c>
      <c r="B299" s="7">
        <v>44859</v>
      </c>
      <c r="C299" s="6" t="s">
        <v>159</v>
      </c>
      <c r="D299" s="6" t="s">
        <v>4</v>
      </c>
      <c r="E299" s="6" t="s">
        <v>5</v>
      </c>
      <c r="F299" s="6">
        <v>2077</v>
      </c>
      <c r="G299" s="6">
        <v>50</v>
      </c>
      <c r="H299" s="12">
        <v>1509.99999</v>
      </c>
      <c r="I299" s="6">
        <v>100</v>
      </c>
      <c r="J299" s="11">
        <f>Análises!F299</f>
        <v>18.86754980044735</v>
      </c>
    </row>
    <row r="300" spans="1:10">
      <c r="A300" s="6" t="s">
        <v>168</v>
      </c>
      <c r="B300" s="7">
        <v>44860</v>
      </c>
      <c r="C300" s="6" t="s">
        <v>159</v>
      </c>
      <c r="D300" s="6" t="s">
        <v>4</v>
      </c>
      <c r="E300" s="6" t="s">
        <v>5</v>
      </c>
      <c r="F300" s="6">
        <v>5447</v>
      </c>
      <c r="G300" s="6">
        <v>100</v>
      </c>
      <c r="H300" s="12">
        <v>2960.0000380000001</v>
      </c>
      <c r="I300" s="6">
        <v>50</v>
      </c>
      <c r="J300" s="11">
        <f>Análises!F300</f>
        <v>4.0675675025109577</v>
      </c>
    </row>
    <row r="301" spans="1:10">
      <c r="A301" s="6" t="s">
        <v>169</v>
      </c>
      <c r="B301" s="7">
        <v>44861</v>
      </c>
      <c r="C301" s="6" t="s">
        <v>159</v>
      </c>
      <c r="D301" s="6" t="s">
        <v>4</v>
      </c>
      <c r="E301" s="6" t="s">
        <v>1</v>
      </c>
      <c r="F301" s="6">
        <v>10466</v>
      </c>
      <c r="G301" s="6">
        <v>150</v>
      </c>
      <c r="H301" s="12">
        <v>4090.0000329999998</v>
      </c>
      <c r="I301" s="6">
        <v>50</v>
      </c>
      <c r="J301" s="11">
        <f>Análises!F301</f>
        <v>2.6674816330007594</v>
      </c>
    </row>
    <row r="302" spans="1:10">
      <c r="A302" s="6" t="s">
        <v>169</v>
      </c>
      <c r="B302" s="7">
        <v>44862</v>
      </c>
      <c r="C302" s="6" t="s">
        <v>159</v>
      </c>
      <c r="D302" s="6" t="s">
        <v>4</v>
      </c>
      <c r="E302" s="6" t="s">
        <v>1</v>
      </c>
      <c r="F302" s="6">
        <v>45401</v>
      </c>
      <c r="G302" s="6">
        <v>500</v>
      </c>
      <c r="H302" s="12">
        <v>14060.00042</v>
      </c>
      <c r="I302" s="6">
        <v>50</v>
      </c>
      <c r="J302" s="11">
        <f>Análises!F302</f>
        <v>6.6856298145117676E-2</v>
      </c>
    </row>
    <row r="303" spans="1:10">
      <c r="A303" s="6" t="s">
        <v>169</v>
      </c>
      <c r="B303" s="7">
        <v>44863</v>
      </c>
      <c r="C303" s="6" t="s">
        <v>159</v>
      </c>
      <c r="D303" s="6" t="s">
        <v>4</v>
      </c>
      <c r="E303" s="6" t="s">
        <v>1</v>
      </c>
      <c r="F303" s="6">
        <v>7478</v>
      </c>
      <c r="G303" s="6">
        <v>100</v>
      </c>
      <c r="H303" s="12">
        <v>2900.0000950000003</v>
      </c>
      <c r="I303" s="6">
        <v>100</v>
      </c>
      <c r="J303" s="11">
        <f>Análises!F303</f>
        <v>9.3448272473246234</v>
      </c>
    </row>
    <row r="304" spans="1:10">
      <c r="A304" s="6" t="s">
        <v>169</v>
      </c>
      <c r="B304" s="7">
        <v>44864</v>
      </c>
      <c r="C304" s="6" t="s">
        <v>159</v>
      </c>
      <c r="D304" s="6" t="s">
        <v>4</v>
      </c>
      <c r="E304" s="6" t="s">
        <v>1</v>
      </c>
      <c r="F304" s="6">
        <v>4919</v>
      </c>
      <c r="G304" s="6">
        <v>50</v>
      </c>
      <c r="H304" s="12">
        <v>1590.000033</v>
      </c>
      <c r="I304" s="6">
        <v>50</v>
      </c>
      <c r="J304" s="11">
        <f>Análises!F304</f>
        <v>8.4339620683517307</v>
      </c>
    </row>
    <row r="305" spans="1:10">
      <c r="A305" s="6" t="s">
        <v>169</v>
      </c>
      <c r="B305" s="7">
        <v>44865</v>
      </c>
      <c r="C305" s="6" t="s">
        <v>159</v>
      </c>
      <c r="D305" s="6" t="s">
        <v>4</v>
      </c>
      <c r="E305" s="6" t="s">
        <v>1</v>
      </c>
      <c r="F305" s="6">
        <v>9674</v>
      </c>
      <c r="G305" s="6">
        <v>150</v>
      </c>
      <c r="H305" s="12">
        <v>4600.0000239999999</v>
      </c>
      <c r="I305" s="6">
        <v>100</v>
      </c>
      <c r="J305" s="11">
        <f>Análises!F305</f>
        <v>5.5217390964083179</v>
      </c>
    </row>
    <row r="306" spans="1:10">
      <c r="A306" s="6" t="s">
        <v>169</v>
      </c>
      <c r="B306" s="7">
        <v>44866</v>
      </c>
      <c r="C306" s="6" t="s">
        <v>159</v>
      </c>
      <c r="D306" s="6" t="s">
        <v>4</v>
      </c>
      <c r="E306" s="6" t="s">
        <v>1</v>
      </c>
      <c r="F306" s="6">
        <v>12186</v>
      </c>
      <c r="G306" s="6">
        <v>100</v>
      </c>
      <c r="H306" s="12">
        <v>2669.999957</v>
      </c>
      <c r="I306" s="6">
        <v>50</v>
      </c>
      <c r="J306" s="11">
        <f>Análises!F306</f>
        <v>4.6179776185666803</v>
      </c>
    </row>
    <row r="307" spans="1:10">
      <c r="A307" s="6" t="s">
        <v>169</v>
      </c>
      <c r="B307" s="7">
        <v>44867</v>
      </c>
      <c r="C307" s="6" t="s">
        <v>159</v>
      </c>
      <c r="D307" s="6" t="s">
        <v>4</v>
      </c>
      <c r="E307" s="6" t="s">
        <v>1</v>
      </c>
      <c r="F307" s="6">
        <v>11988</v>
      </c>
      <c r="G307" s="6">
        <v>150</v>
      </c>
      <c r="H307" s="12">
        <v>4269.9998619999997</v>
      </c>
      <c r="I307" s="6">
        <v>50</v>
      </c>
      <c r="J307" s="11">
        <f>Análises!F307</f>
        <v>2.5128806755919282</v>
      </c>
    </row>
    <row r="308" spans="1:10">
      <c r="A308" s="6" t="s">
        <v>169</v>
      </c>
      <c r="B308" s="7">
        <v>44868</v>
      </c>
      <c r="C308" s="6" t="s">
        <v>159</v>
      </c>
      <c r="D308" s="6" t="s">
        <v>4</v>
      </c>
      <c r="E308" s="6" t="s">
        <v>1</v>
      </c>
      <c r="F308" s="6">
        <v>19353</v>
      </c>
      <c r="G308" s="6">
        <v>300</v>
      </c>
      <c r="H308" s="12">
        <v>9479.9998999999989</v>
      </c>
      <c r="I308" s="6">
        <v>100</v>
      </c>
      <c r="J308" s="11">
        <f>Análises!F308</f>
        <v>2.1645569954067199</v>
      </c>
    </row>
    <row r="309" spans="1:10">
      <c r="A309" s="6" t="s">
        <v>169</v>
      </c>
      <c r="B309" s="7">
        <v>44869</v>
      </c>
      <c r="C309" s="6" t="s">
        <v>159</v>
      </c>
      <c r="D309" s="6" t="s">
        <v>4</v>
      </c>
      <c r="E309" s="6" t="s">
        <v>1</v>
      </c>
      <c r="F309" s="6">
        <v>10257</v>
      </c>
      <c r="G309" s="6">
        <v>150</v>
      </c>
      <c r="H309" s="12">
        <v>3579.9999240000002</v>
      </c>
      <c r="I309" s="6">
        <v>100</v>
      </c>
      <c r="J309" s="11">
        <f>Análises!F309</f>
        <v>7.3798884460534975</v>
      </c>
    </row>
    <row r="310" spans="1:10">
      <c r="A310" s="6" t="s">
        <v>169</v>
      </c>
      <c r="B310" s="7">
        <v>44870</v>
      </c>
      <c r="C310" s="6" t="s">
        <v>159</v>
      </c>
      <c r="D310" s="6" t="s">
        <v>4</v>
      </c>
      <c r="E310" s="6" t="s">
        <v>1</v>
      </c>
      <c r="F310" s="6">
        <v>7410</v>
      </c>
      <c r="G310" s="6">
        <v>50</v>
      </c>
      <c r="H310" s="12">
        <v>1210.0000379999999</v>
      </c>
      <c r="I310" s="6">
        <v>50</v>
      </c>
      <c r="J310" s="11">
        <f>Análises!F310</f>
        <v>11.396693825558376</v>
      </c>
    </row>
    <row r="311" spans="1:10">
      <c r="A311" s="6" t="s">
        <v>169</v>
      </c>
      <c r="B311" s="7">
        <v>44871</v>
      </c>
      <c r="C311" s="6" t="s">
        <v>159</v>
      </c>
      <c r="D311" s="6" t="s">
        <v>4</v>
      </c>
      <c r="E311" s="6" t="s">
        <v>1</v>
      </c>
      <c r="F311" s="6">
        <v>140098</v>
      </c>
      <c r="G311" s="6">
        <v>1400</v>
      </c>
      <c r="H311" s="12">
        <v>46630.000110000001</v>
      </c>
      <c r="I311" s="6">
        <v>50</v>
      </c>
      <c r="J311" s="11">
        <f>Análises!F311</f>
        <v>-0.67831867972088666</v>
      </c>
    </row>
    <row r="312" spans="1:10">
      <c r="A312" s="6" t="s">
        <v>169</v>
      </c>
      <c r="B312" s="7">
        <v>44872</v>
      </c>
      <c r="C312" s="6" t="s">
        <v>159</v>
      </c>
      <c r="D312" s="6" t="s">
        <v>4</v>
      </c>
      <c r="E312" s="6" t="s">
        <v>1</v>
      </c>
      <c r="F312" s="6">
        <v>107021</v>
      </c>
      <c r="G312" s="6">
        <v>1000</v>
      </c>
      <c r="H312" s="12">
        <v>34440.000119999997</v>
      </c>
      <c r="I312" s="6">
        <v>50</v>
      </c>
      <c r="J312" s="11">
        <f>Análises!F312</f>
        <v>-0.56445993183115006</v>
      </c>
    </row>
    <row r="313" spans="1:10">
      <c r="A313" s="6" t="s">
        <v>169</v>
      </c>
      <c r="B313" s="7">
        <v>44873</v>
      </c>
      <c r="C313" s="6" t="s">
        <v>159</v>
      </c>
      <c r="D313" s="6" t="s">
        <v>4</v>
      </c>
      <c r="E313" s="6" t="s">
        <v>1</v>
      </c>
      <c r="F313" s="6">
        <v>16461</v>
      </c>
      <c r="G313" s="6">
        <v>300</v>
      </c>
      <c r="H313" s="12">
        <v>9219.9997899999998</v>
      </c>
      <c r="I313" s="6">
        <v>50</v>
      </c>
      <c r="J313" s="11">
        <f>Análises!F313</f>
        <v>0.62689808477750519</v>
      </c>
    </row>
    <row r="314" spans="1:10">
      <c r="A314" s="6" t="s">
        <v>169</v>
      </c>
      <c r="B314" s="7">
        <v>44874</v>
      </c>
      <c r="C314" s="6" t="s">
        <v>159</v>
      </c>
      <c r="D314" s="6" t="s">
        <v>4</v>
      </c>
      <c r="E314" s="6" t="s">
        <v>1</v>
      </c>
      <c r="F314" s="6">
        <v>4333</v>
      </c>
      <c r="G314" s="6">
        <v>50</v>
      </c>
      <c r="H314" s="12">
        <v>180.00000699999998</v>
      </c>
      <c r="I314" s="6">
        <v>100</v>
      </c>
      <c r="J314" s="11">
        <f>Análises!F314</f>
        <v>165.66666018518546</v>
      </c>
    </row>
    <row r="315" spans="1:10">
      <c r="A315" s="6" t="s">
        <v>169</v>
      </c>
      <c r="B315" s="7">
        <v>44875</v>
      </c>
      <c r="C315" s="6" t="s">
        <v>159</v>
      </c>
      <c r="D315" s="6" t="s">
        <v>4</v>
      </c>
      <c r="E315" s="6" t="s">
        <v>1</v>
      </c>
      <c r="F315" s="6">
        <v>3490</v>
      </c>
      <c r="G315" s="6">
        <v>50</v>
      </c>
      <c r="H315" s="12">
        <v>1340.000033</v>
      </c>
      <c r="I315" s="6">
        <v>100</v>
      </c>
      <c r="J315" s="11">
        <f>Análises!F315</f>
        <v>21.388059150144812</v>
      </c>
    </row>
    <row r="316" spans="1:10">
      <c r="A316" s="6" t="s">
        <v>169</v>
      </c>
      <c r="B316" s="7">
        <v>44876</v>
      </c>
      <c r="C316" s="6" t="s">
        <v>159</v>
      </c>
      <c r="D316" s="6" t="s">
        <v>4</v>
      </c>
      <c r="E316" s="6" t="s">
        <v>1</v>
      </c>
      <c r="F316" s="6">
        <v>19537</v>
      </c>
      <c r="G316" s="6">
        <v>250</v>
      </c>
      <c r="H316" s="12">
        <v>6099.9999049999997</v>
      </c>
      <c r="I316" s="6">
        <v>50</v>
      </c>
      <c r="J316" s="11">
        <f>Análises!F316</f>
        <v>1.4590164317387804</v>
      </c>
    </row>
    <row r="317" spans="1:10">
      <c r="A317" s="6" t="s">
        <v>169</v>
      </c>
      <c r="B317" s="7">
        <v>44877</v>
      </c>
      <c r="C317" s="6" t="s">
        <v>159</v>
      </c>
      <c r="D317" s="6" t="s">
        <v>4</v>
      </c>
      <c r="E317" s="6" t="s">
        <v>1</v>
      </c>
      <c r="F317" s="6">
        <v>59433</v>
      </c>
      <c r="G317" s="6">
        <v>600</v>
      </c>
      <c r="H317" s="12">
        <v>19659.999490000002</v>
      </c>
      <c r="I317" s="6">
        <v>150</v>
      </c>
      <c r="J317" s="11">
        <f>Análises!F317</f>
        <v>1.2889115547988244</v>
      </c>
    </row>
    <row r="318" spans="1:10">
      <c r="A318" s="6" t="s">
        <v>169</v>
      </c>
      <c r="B318" s="7">
        <v>44878</v>
      </c>
      <c r="C318" s="6" t="s">
        <v>159</v>
      </c>
      <c r="D318" s="6" t="s">
        <v>4</v>
      </c>
      <c r="E318" s="6" t="s">
        <v>1</v>
      </c>
      <c r="F318" s="6">
        <v>157534</v>
      </c>
      <c r="G318" s="6">
        <v>1650</v>
      </c>
      <c r="H318" s="12">
        <v>56190.000769999999</v>
      </c>
      <c r="I318" s="6">
        <v>100</v>
      </c>
      <c r="J318" s="11">
        <f>Análises!F318</f>
        <v>-0.46609717763134317</v>
      </c>
    </row>
    <row r="319" spans="1:10">
      <c r="A319" s="6" t="s">
        <v>169</v>
      </c>
      <c r="B319" s="7">
        <v>44879</v>
      </c>
      <c r="C319" s="6" t="s">
        <v>159</v>
      </c>
      <c r="D319" s="6" t="s">
        <v>4</v>
      </c>
      <c r="E319" s="6" t="s">
        <v>1</v>
      </c>
      <c r="F319" s="6">
        <v>4397</v>
      </c>
      <c r="G319" s="6">
        <v>50</v>
      </c>
      <c r="H319" s="12">
        <v>949.99998799999992</v>
      </c>
      <c r="I319" s="6">
        <v>50</v>
      </c>
      <c r="J319" s="11">
        <f>Análises!F319</f>
        <v>14.789473883656514</v>
      </c>
    </row>
    <row r="320" spans="1:10">
      <c r="A320" s="6" t="s">
        <v>169</v>
      </c>
      <c r="B320" s="7">
        <v>44880</v>
      </c>
      <c r="C320" s="6" t="s">
        <v>159</v>
      </c>
      <c r="D320" s="6" t="s">
        <v>4</v>
      </c>
      <c r="E320" s="6" t="s">
        <v>1</v>
      </c>
      <c r="F320" s="6">
        <v>11611</v>
      </c>
      <c r="G320" s="6">
        <v>150</v>
      </c>
      <c r="H320" s="12">
        <v>3950.0000480000003</v>
      </c>
      <c r="I320" s="6">
        <v>100</v>
      </c>
      <c r="J320" s="11">
        <f>Análises!F320</f>
        <v>6.5949366165678578</v>
      </c>
    </row>
    <row r="321" spans="1:10">
      <c r="A321" s="6" t="s">
        <v>169</v>
      </c>
      <c r="B321" s="7">
        <v>44881</v>
      </c>
      <c r="C321" s="6" t="s">
        <v>159</v>
      </c>
      <c r="D321" s="6" t="s">
        <v>4</v>
      </c>
      <c r="E321" s="6" t="s">
        <v>1</v>
      </c>
      <c r="F321" s="6">
        <v>9375</v>
      </c>
      <c r="G321" s="6">
        <v>150</v>
      </c>
      <c r="H321" s="12">
        <v>4019.9999809999999</v>
      </c>
      <c r="I321" s="6">
        <v>50</v>
      </c>
      <c r="J321" s="11">
        <f>Análises!F321</f>
        <v>2.7313433012177915</v>
      </c>
    </row>
    <row r="322" spans="1:10">
      <c r="A322" s="6" t="s">
        <v>169</v>
      </c>
      <c r="B322" s="7">
        <v>44882</v>
      </c>
      <c r="C322" s="6" t="s">
        <v>159</v>
      </c>
      <c r="D322" s="6" t="s">
        <v>4</v>
      </c>
      <c r="E322" s="6" t="s">
        <v>1</v>
      </c>
      <c r="F322" s="6">
        <v>5537</v>
      </c>
      <c r="G322" s="6">
        <v>50</v>
      </c>
      <c r="H322" s="12">
        <v>1519.9999809999999</v>
      </c>
      <c r="I322" s="6">
        <v>50</v>
      </c>
      <c r="J322" s="11">
        <f>Análises!F322</f>
        <v>8.8684211759868443</v>
      </c>
    </row>
    <row r="323" spans="1:10">
      <c r="A323" s="6" t="s">
        <v>169</v>
      </c>
      <c r="B323" s="7">
        <v>44883</v>
      </c>
      <c r="C323" s="6" t="s">
        <v>159</v>
      </c>
      <c r="D323" s="6" t="s">
        <v>4</v>
      </c>
      <c r="E323" s="6" t="s">
        <v>1</v>
      </c>
      <c r="F323" s="6">
        <v>1909</v>
      </c>
      <c r="G323" s="6">
        <v>50</v>
      </c>
      <c r="H323" s="12">
        <v>980.00001899999995</v>
      </c>
      <c r="I323" s="6">
        <v>50</v>
      </c>
      <c r="J323" s="11">
        <f>Análises!F323</f>
        <v>14.306122152228246</v>
      </c>
    </row>
    <row r="324" spans="1:10">
      <c r="A324" s="6" t="s">
        <v>169</v>
      </c>
      <c r="B324" s="7">
        <v>44884</v>
      </c>
      <c r="C324" s="6" t="s">
        <v>159</v>
      </c>
      <c r="D324" s="6" t="s">
        <v>4</v>
      </c>
      <c r="E324" s="6" t="s">
        <v>1</v>
      </c>
      <c r="F324" s="6">
        <v>5894</v>
      </c>
      <c r="G324" s="6">
        <v>50</v>
      </c>
      <c r="H324" s="12">
        <v>1539.9999620000001</v>
      </c>
      <c r="I324" s="6">
        <v>100</v>
      </c>
      <c r="J324" s="11">
        <f>Análises!F324</f>
        <v>18.480519961207634</v>
      </c>
    </row>
    <row r="325" spans="1:10">
      <c r="A325" s="6" t="s">
        <v>170</v>
      </c>
      <c r="B325" s="7">
        <v>44885</v>
      </c>
      <c r="C325" s="6" t="s">
        <v>160</v>
      </c>
      <c r="D325" s="6" t="s">
        <v>0</v>
      </c>
      <c r="E325" s="6" t="s">
        <v>5</v>
      </c>
      <c r="F325" s="6">
        <v>318042</v>
      </c>
      <c r="G325" s="6">
        <v>2300</v>
      </c>
      <c r="H325" s="12">
        <v>64409.999970000004</v>
      </c>
      <c r="I325" s="6">
        <v>450</v>
      </c>
      <c r="J325" s="11">
        <f>Análises!F325</f>
        <v>1.0959478351634595</v>
      </c>
    </row>
    <row r="326" spans="1:10">
      <c r="A326" s="6" t="s">
        <v>170</v>
      </c>
      <c r="B326" s="7">
        <v>44886</v>
      </c>
      <c r="C326" s="6" t="s">
        <v>160</v>
      </c>
      <c r="D326" s="6" t="s">
        <v>0</v>
      </c>
      <c r="E326" s="6" t="s">
        <v>5</v>
      </c>
      <c r="F326" s="6">
        <v>213016</v>
      </c>
      <c r="G326" s="6">
        <v>1500</v>
      </c>
      <c r="H326" s="12">
        <v>44219.99955</v>
      </c>
      <c r="I326" s="6">
        <v>650</v>
      </c>
      <c r="J326" s="11">
        <f>Análises!F326</f>
        <v>3.4097693800180058</v>
      </c>
    </row>
    <row r="327" spans="1:10">
      <c r="A327" s="6" t="s">
        <v>170</v>
      </c>
      <c r="B327" s="7">
        <v>44887</v>
      </c>
      <c r="C327" s="6" t="s">
        <v>160</v>
      </c>
      <c r="D327" s="6" t="s">
        <v>0</v>
      </c>
      <c r="E327" s="6" t="s">
        <v>5</v>
      </c>
      <c r="F327" s="6">
        <v>182265</v>
      </c>
      <c r="G327" s="6">
        <v>1350</v>
      </c>
      <c r="H327" s="12">
        <v>38180.000070000002</v>
      </c>
      <c r="I327" s="6">
        <v>50</v>
      </c>
      <c r="J327" s="11">
        <f>Análises!F327</f>
        <v>-0.60712414948929572</v>
      </c>
    </row>
    <row r="328" spans="1:10">
      <c r="A328" s="6" t="s">
        <v>170</v>
      </c>
      <c r="B328" s="7">
        <v>44888</v>
      </c>
      <c r="C328" s="6" t="s">
        <v>160</v>
      </c>
      <c r="D328" s="6" t="s">
        <v>0</v>
      </c>
      <c r="E328" s="6" t="s">
        <v>5</v>
      </c>
      <c r="F328" s="6">
        <v>1117371</v>
      </c>
      <c r="G328" s="6">
        <v>8850</v>
      </c>
      <c r="H328" s="12">
        <v>268050.00199999998</v>
      </c>
      <c r="I328" s="6">
        <v>1550</v>
      </c>
      <c r="J328" s="11">
        <f>Análises!F328</f>
        <v>0.7347509663514199</v>
      </c>
    </row>
    <row r="329" spans="1:10">
      <c r="A329" s="6" t="s">
        <v>170</v>
      </c>
      <c r="B329" s="7">
        <v>44889</v>
      </c>
      <c r="C329" s="6" t="s">
        <v>160</v>
      </c>
      <c r="D329" s="6" t="s">
        <v>0</v>
      </c>
      <c r="E329" s="6" t="s">
        <v>5</v>
      </c>
      <c r="F329" s="6">
        <v>333345</v>
      </c>
      <c r="G329" s="6">
        <v>2600</v>
      </c>
      <c r="H329" s="12">
        <v>77590.000270000004</v>
      </c>
      <c r="I329" s="6">
        <v>350</v>
      </c>
      <c r="J329" s="11">
        <f>Análises!F329</f>
        <v>0.35326716889570642</v>
      </c>
    </row>
    <row r="330" spans="1:10">
      <c r="A330" s="6" t="s">
        <v>170</v>
      </c>
      <c r="B330" s="7">
        <v>44890</v>
      </c>
      <c r="C330" s="6" t="s">
        <v>160</v>
      </c>
      <c r="D330" s="6" t="s">
        <v>0</v>
      </c>
      <c r="E330" s="6" t="s">
        <v>5</v>
      </c>
      <c r="F330" s="6">
        <v>275930</v>
      </c>
      <c r="G330" s="6">
        <v>1500</v>
      </c>
      <c r="H330" s="12">
        <v>46779.999969999997</v>
      </c>
      <c r="I330" s="6">
        <v>250</v>
      </c>
      <c r="J330" s="11">
        <f>Análises!F330</f>
        <v>0.60324925284517916</v>
      </c>
    </row>
    <row r="331" spans="1:10">
      <c r="A331" s="6" t="s">
        <v>170</v>
      </c>
      <c r="B331" s="7">
        <v>44891</v>
      </c>
      <c r="C331" s="6" t="s">
        <v>160</v>
      </c>
      <c r="D331" s="6" t="s">
        <v>0</v>
      </c>
      <c r="E331" s="6" t="s">
        <v>5</v>
      </c>
      <c r="F331" s="6">
        <v>740631</v>
      </c>
      <c r="G331" s="6">
        <v>5050</v>
      </c>
      <c r="H331" s="12">
        <v>153119.9975</v>
      </c>
      <c r="I331" s="6">
        <v>700</v>
      </c>
      <c r="J331" s="11">
        <f>Análises!F331</f>
        <v>0.37147337662410818</v>
      </c>
    </row>
    <row r="332" spans="1:10">
      <c r="A332" s="6" t="s">
        <v>170</v>
      </c>
      <c r="B332" s="7">
        <v>44892</v>
      </c>
      <c r="C332" s="6" t="s">
        <v>160</v>
      </c>
      <c r="D332" s="6" t="s">
        <v>0</v>
      </c>
      <c r="E332" s="6" t="s">
        <v>5</v>
      </c>
      <c r="F332" s="6">
        <v>328272</v>
      </c>
      <c r="G332" s="6">
        <v>1750</v>
      </c>
      <c r="H332" s="12">
        <v>55990.000250000005</v>
      </c>
      <c r="I332" s="6">
        <v>150</v>
      </c>
      <c r="J332" s="11">
        <f>Análises!F332</f>
        <v>-0.19628505449060082</v>
      </c>
    </row>
    <row r="333" spans="1:10">
      <c r="A333" s="6" t="s">
        <v>170</v>
      </c>
      <c r="B333" s="7">
        <v>44893</v>
      </c>
      <c r="C333" s="6" t="s">
        <v>160</v>
      </c>
      <c r="D333" s="6" t="s">
        <v>0</v>
      </c>
      <c r="E333" s="6" t="s">
        <v>5</v>
      </c>
      <c r="F333" s="6">
        <v>178455</v>
      </c>
      <c r="G333" s="6">
        <v>1000</v>
      </c>
      <c r="H333" s="12">
        <v>31540.000200000002</v>
      </c>
      <c r="I333" s="6">
        <v>500</v>
      </c>
      <c r="J333" s="11">
        <f>Análises!F333</f>
        <v>3.7558655373756142</v>
      </c>
    </row>
    <row r="334" spans="1:10">
      <c r="A334" s="6" t="s">
        <v>170</v>
      </c>
      <c r="B334" s="7">
        <v>44894</v>
      </c>
      <c r="C334" s="6" t="s">
        <v>160</v>
      </c>
      <c r="D334" s="6" t="s">
        <v>0</v>
      </c>
      <c r="E334" s="6" t="s">
        <v>5</v>
      </c>
      <c r="F334" s="6">
        <v>705712</v>
      </c>
      <c r="G334" s="6">
        <v>4900</v>
      </c>
      <c r="H334" s="12">
        <v>147339.99900000001</v>
      </c>
      <c r="I334" s="6">
        <v>300</v>
      </c>
      <c r="J334" s="11">
        <f>Análises!F334</f>
        <v>-0.38916790680852392</v>
      </c>
    </row>
    <row r="335" spans="1:10">
      <c r="A335" s="6" t="s">
        <v>170</v>
      </c>
      <c r="B335" s="7">
        <v>44895</v>
      </c>
      <c r="C335" s="6" t="s">
        <v>160</v>
      </c>
      <c r="D335" s="6" t="s">
        <v>0</v>
      </c>
      <c r="E335" s="6" t="s">
        <v>5</v>
      </c>
      <c r="F335" s="6">
        <v>690373</v>
      </c>
      <c r="G335" s="6">
        <v>4550</v>
      </c>
      <c r="H335" s="12">
        <v>159570.00210000001</v>
      </c>
      <c r="I335" s="6">
        <v>300</v>
      </c>
      <c r="J335" s="11">
        <f>Análises!F335</f>
        <v>-0.43598421498046724</v>
      </c>
    </row>
    <row r="336" spans="1:10">
      <c r="A336" s="6" t="s">
        <v>170</v>
      </c>
      <c r="B336" s="7">
        <v>44896</v>
      </c>
      <c r="C336" s="6" t="s">
        <v>160</v>
      </c>
      <c r="D336" s="6" t="s">
        <v>0</v>
      </c>
      <c r="E336" s="6" t="s">
        <v>5</v>
      </c>
      <c r="F336" s="6">
        <v>515812</v>
      </c>
      <c r="G336" s="6">
        <v>3450</v>
      </c>
      <c r="H336" s="12">
        <v>117629.99949999999</v>
      </c>
      <c r="I336" s="6">
        <v>100</v>
      </c>
      <c r="J336" s="11">
        <f>Análises!F336</f>
        <v>-0.74496301855378311</v>
      </c>
    </row>
    <row r="337" spans="1:10">
      <c r="A337" s="6" t="s">
        <v>170</v>
      </c>
      <c r="B337" s="7">
        <v>44897</v>
      </c>
      <c r="C337" s="6" t="s">
        <v>160</v>
      </c>
      <c r="D337" s="6" t="s">
        <v>0</v>
      </c>
      <c r="E337" s="6" t="s">
        <v>5</v>
      </c>
      <c r="F337" s="6">
        <v>764793</v>
      </c>
      <c r="G337" s="6">
        <v>5050</v>
      </c>
      <c r="H337" s="12">
        <v>171979.9976</v>
      </c>
      <c r="I337" s="6">
        <v>200</v>
      </c>
      <c r="J337" s="11">
        <f>Análises!F337</f>
        <v>-0.65112221864573394</v>
      </c>
    </row>
    <row r="338" spans="1:10">
      <c r="A338" s="6" t="s">
        <v>170</v>
      </c>
      <c r="B338" s="7">
        <v>44898</v>
      </c>
      <c r="C338" s="6" t="s">
        <v>160</v>
      </c>
      <c r="D338" s="6" t="s">
        <v>0</v>
      </c>
      <c r="E338" s="6" t="s">
        <v>5</v>
      </c>
      <c r="F338" s="6">
        <v>87832</v>
      </c>
      <c r="G338" s="6">
        <v>550</v>
      </c>
      <c r="H338" s="12">
        <v>18100.000380000001</v>
      </c>
      <c r="I338" s="6">
        <v>50</v>
      </c>
      <c r="J338" s="11">
        <f>Análises!F338</f>
        <v>-0.17127073563078019</v>
      </c>
    </row>
    <row r="339" spans="1:10">
      <c r="A339" s="6" t="s">
        <v>170</v>
      </c>
      <c r="B339" s="7">
        <v>44899</v>
      </c>
      <c r="C339" s="6" t="s">
        <v>160</v>
      </c>
      <c r="D339" s="6" t="s">
        <v>0</v>
      </c>
      <c r="E339" s="6" t="s">
        <v>5</v>
      </c>
      <c r="F339" s="6">
        <v>23368</v>
      </c>
      <c r="G339" s="6">
        <v>150</v>
      </c>
      <c r="H339" s="12">
        <v>4300.0001910000001</v>
      </c>
      <c r="I339" s="6">
        <v>0</v>
      </c>
      <c r="J339" s="11">
        <f>Análises!F339</f>
        <v>-1</v>
      </c>
    </row>
    <row r="340" spans="1:10">
      <c r="A340" s="6" t="s">
        <v>170</v>
      </c>
      <c r="B340" s="7">
        <v>44900</v>
      </c>
      <c r="C340" s="6" t="s">
        <v>160</v>
      </c>
      <c r="D340" s="6" t="s">
        <v>0</v>
      </c>
      <c r="E340" s="6" t="s">
        <v>5</v>
      </c>
      <c r="F340" s="6">
        <v>51509</v>
      </c>
      <c r="G340" s="6">
        <v>350</v>
      </c>
      <c r="H340" s="12">
        <v>11570.000050000001</v>
      </c>
      <c r="I340" s="6">
        <v>0</v>
      </c>
      <c r="J340" s="11">
        <f>Análises!F340</f>
        <v>-1</v>
      </c>
    </row>
    <row r="341" spans="1:10">
      <c r="A341" s="6" t="s">
        <v>170</v>
      </c>
      <c r="B341" s="7">
        <v>44901</v>
      </c>
      <c r="C341" s="6" t="s">
        <v>160</v>
      </c>
      <c r="D341" s="6" t="s">
        <v>0</v>
      </c>
      <c r="E341" s="6" t="s">
        <v>5</v>
      </c>
      <c r="F341" s="6">
        <v>87043</v>
      </c>
      <c r="G341" s="6">
        <v>800</v>
      </c>
      <c r="H341" s="12">
        <v>24480.000019999999</v>
      </c>
      <c r="I341" s="6">
        <v>200</v>
      </c>
      <c r="J341" s="11">
        <f>Análises!F341</f>
        <v>1.4509803901544278</v>
      </c>
    </row>
    <row r="342" spans="1:10">
      <c r="A342" s="6" t="s">
        <v>170</v>
      </c>
      <c r="B342" s="7">
        <v>44902</v>
      </c>
      <c r="C342" s="6" t="s">
        <v>160</v>
      </c>
      <c r="D342" s="6" t="s">
        <v>0</v>
      </c>
      <c r="E342" s="6" t="s">
        <v>5</v>
      </c>
      <c r="F342" s="6">
        <v>565565</v>
      </c>
      <c r="G342" s="6">
        <v>5650</v>
      </c>
      <c r="H342" s="12">
        <v>169669.9982</v>
      </c>
      <c r="I342" s="6">
        <v>500</v>
      </c>
      <c r="J342" s="11">
        <f>Análises!F342</f>
        <v>-0.11593091535731508</v>
      </c>
    </row>
    <row r="343" spans="1:10">
      <c r="A343" s="6" t="s">
        <v>170</v>
      </c>
      <c r="B343" s="7">
        <v>44903</v>
      </c>
      <c r="C343" s="6" t="s">
        <v>160</v>
      </c>
      <c r="D343" s="6" t="s">
        <v>0</v>
      </c>
      <c r="E343" s="6" t="s">
        <v>5</v>
      </c>
      <c r="F343" s="6">
        <v>253758</v>
      </c>
      <c r="G343" s="6">
        <v>2150</v>
      </c>
      <c r="H343" s="12">
        <v>62140.000339999999</v>
      </c>
      <c r="I343" s="6">
        <v>250</v>
      </c>
      <c r="J343" s="11">
        <f>Análises!F343</f>
        <v>0.20695203716827018</v>
      </c>
    </row>
    <row r="344" spans="1:10">
      <c r="A344" s="6" t="s">
        <v>170</v>
      </c>
      <c r="B344" s="7">
        <v>44904</v>
      </c>
      <c r="C344" s="6" t="s">
        <v>160</v>
      </c>
      <c r="D344" s="6" t="s">
        <v>0</v>
      </c>
      <c r="E344" s="6" t="s">
        <v>5</v>
      </c>
      <c r="F344" s="6">
        <v>319131</v>
      </c>
      <c r="G344" s="6">
        <v>2550</v>
      </c>
      <c r="H344" s="12">
        <v>76680.000250000012</v>
      </c>
      <c r="I344" s="6">
        <v>350</v>
      </c>
      <c r="J344" s="11">
        <f>Análises!F344</f>
        <v>0.36932706908800489</v>
      </c>
    </row>
    <row r="345" spans="1:10">
      <c r="A345" s="6" t="s">
        <v>170</v>
      </c>
      <c r="B345" s="7">
        <v>44905</v>
      </c>
      <c r="C345" s="6" t="s">
        <v>160</v>
      </c>
      <c r="D345" s="6" t="s">
        <v>0</v>
      </c>
      <c r="E345" s="6" t="s">
        <v>5</v>
      </c>
      <c r="F345" s="6">
        <v>670608</v>
      </c>
      <c r="G345" s="6">
        <v>6500</v>
      </c>
      <c r="H345" s="12">
        <v>195149.99779999998</v>
      </c>
      <c r="I345" s="6">
        <v>750</v>
      </c>
      <c r="J345" s="11">
        <f>Análises!F345</f>
        <v>0.15295927510381976</v>
      </c>
    </row>
    <row r="346" spans="1:10">
      <c r="A346" s="6" t="s">
        <v>170</v>
      </c>
      <c r="B346" s="7">
        <v>44906</v>
      </c>
      <c r="C346" s="6" t="s">
        <v>160</v>
      </c>
      <c r="D346" s="6" t="s">
        <v>0</v>
      </c>
      <c r="E346" s="6" t="s">
        <v>5</v>
      </c>
      <c r="F346" s="6">
        <v>159123</v>
      </c>
      <c r="G346" s="6">
        <v>1250</v>
      </c>
      <c r="H346" s="12">
        <v>38360.00013</v>
      </c>
      <c r="I346" s="6">
        <v>300</v>
      </c>
      <c r="J346" s="11">
        <f>Análises!F346</f>
        <v>1.3461939440822415</v>
      </c>
    </row>
    <row r="347" spans="1:10">
      <c r="A347" s="6" t="s">
        <v>170</v>
      </c>
      <c r="B347" s="7">
        <v>44907</v>
      </c>
      <c r="C347" s="6" t="s">
        <v>160</v>
      </c>
      <c r="D347" s="6" t="s">
        <v>0</v>
      </c>
      <c r="E347" s="6" t="s">
        <v>5</v>
      </c>
      <c r="F347" s="6">
        <v>103709</v>
      </c>
      <c r="G347" s="6">
        <v>750</v>
      </c>
      <c r="H347" s="12">
        <v>24569.999690000001</v>
      </c>
      <c r="I347" s="6">
        <v>350</v>
      </c>
      <c r="J347" s="11">
        <f>Análises!F347</f>
        <v>3.2735043274231317</v>
      </c>
    </row>
    <row r="348" spans="1:10">
      <c r="A348" s="6" t="s">
        <v>170</v>
      </c>
      <c r="B348" s="7">
        <v>44908</v>
      </c>
      <c r="C348" s="6" t="s">
        <v>160</v>
      </c>
      <c r="D348" s="6" t="s">
        <v>0</v>
      </c>
      <c r="E348" s="6" t="s">
        <v>5</v>
      </c>
      <c r="F348" s="6">
        <v>271589</v>
      </c>
      <c r="G348" s="6">
        <v>2250</v>
      </c>
      <c r="H348" s="12">
        <v>74410.000319999992</v>
      </c>
      <c r="I348" s="6">
        <v>700</v>
      </c>
      <c r="J348" s="11">
        <f>Análises!F348</f>
        <v>1.8222013048904127</v>
      </c>
    </row>
    <row r="349" spans="1:10">
      <c r="A349" s="6" t="s">
        <v>170</v>
      </c>
      <c r="B349" s="7">
        <v>44909</v>
      </c>
      <c r="C349" s="6" t="s">
        <v>160</v>
      </c>
      <c r="D349" s="6" t="s">
        <v>0</v>
      </c>
      <c r="E349" s="6" t="s">
        <v>5</v>
      </c>
      <c r="F349" s="6">
        <v>119772</v>
      </c>
      <c r="G349" s="6">
        <v>1000</v>
      </c>
      <c r="H349" s="12">
        <v>33469.999069999998</v>
      </c>
      <c r="I349" s="6">
        <v>300</v>
      </c>
      <c r="J349" s="11">
        <f>Análises!F349</f>
        <v>1.6889752763892145</v>
      </c>
    </row>
    <row r="350" spans="1:10">
      <c r="A350" s="6" t="s">
        <v>170</v>
      </c>
      <c r="B350" s="7">
        <v>44910</v>
      </c>
      <c r="C350" s="6" t="s">
        <v>160</v>
      </c>
      <c r="D350" s="6" t="s">
        <v>0</v>
      </c>
      <c r="E350" s="6" t="s">
        <v>5</v>
      </c>
      <c r="F350" s="6">
        <v>26340</v>
      </c>
      <c r="G350" s="6">
        <v>150</v>
      </c>
      <c r="H350" s="12">
        <v>4220.0000290000007</v>
      </c>
      <c r="I350" s="6">
        <v>150</v>
      </c>
      <c r="J350" s="11">
        <f>Análises!F350</f>
        <v>9.663507035724713</v>
      </c>
    </row>
    <row r="351" spans="1:10">
      <c r="A351" s="6" t="s">
        <v>170</v>
      </c>
      <c r="B351" s="7">
        <v>44911</v>
      </c>
      <c r="C351" s="6" t="s">
        <v>160</v>
      </c>
      <c r="D351" s="6" t="s">
        <v>0</v>
      </c>
      <c r="E351" s="6" t="s">
        <v>5</v>
      </c>
      <c r="F351" s="6">
        <v>594968</v>
      </c>
      <c r="G351" s="6">
        <v>5550</v>
      </c>
      <c r="H351" s="12">
        <v>147670.0006</v>
      </c>
      <c r="I351" s="6">
        <v>250</v>
      </c>
      <c r="J351" s="11">
        <f>Análises!F351</f>
        <v>-0.49211078963048371</v>
      </c>
    </row>
    <row r="352" spans="1:10">
      <c r="A352" s="6" t="s">
        <v>170</v>
      </c>
      <c r="B352" s="7">
        <v>44912</v>
      </c>
      <c r="C352" s="6" t="s">
        <v>160</v>
      </c>
      <c r="D352" s="6" t="s">
        <v>0</v>
      </c>
      <c r="E352" s="6" t="s">
        <v>5</v>
      </c>
      <c r="F352" s="6">
        <v>185665</v>
      </c>
      <c r="G352" s="6">
        <v>1950</v>
      </c>
      <c r="H352" s="12">
        <v>62140.00058</v>
      </c>
      <c r="I352" s="6">
        <v>100</v>
      </c>
      <c r="J352" s="11">
        <f>Análises!F352</f>
        <v>-0.5172191869973104</v>
      </c>
    </row>
    <row r="353" spans="1:10">
      <c r="A353" s="6" t="s">
        <v>170</v>
      </c>
      <c r="B353" s="7">
        <v>44913</v>
      </c>
      <c r="C353" s="6" t="s">
        <v>160</v>
      </c>
      <c r="D353" s="6" t="s">
        <v>0</v>
      </c>
      <c r="E353" s="6" t="s">
        <v>5</v>
      </c>
      <c r="F353" s="6">
        <v>24959</v>
      </c>
      <c r="G353" s="6">
        <v>150</v>
      </c>
      <c r="H353" s="12">
        <v>4560.0000620000001</v>
      </c>
      <c r="I353" s="6">
        <v>200</v>
      </c>
      <c r="J353" s="11">
        <f>Análises!F353</f>
        <v>12.157894557940907</v>
      </c>
    </row>
    <row r="354" spans="1:10">
      <c r="A354" s="6" t="s">
        <v>170</v>
      </c>
      <c r="B354" s="7">
        <v>44914</v>
      </c>
      <c r="C354" s="6" t="s">
        <v>160</v>
      </c>
      <c r="D354" s="6" t="s">
        <v>0</v>
      </c>
      <c r="E354" s="6" t="s">
        <v>5</v>
      </c>
      <c r="F354" s="6">
        <v>136967</v>
      </c>
      <c r="G354" s="6">
        <v>1150</v>
      </c>
      <c r="H354" s="12">
        <v>35059.999820000005</v>
      </c>
      <c r="I354" s="6">
        <v>300</v>
      </c>
      <c r="J354" s="11">
        <f>Análises!F354</f>
        <v>1.5670279652614096</v>
      </c>
    </row>
    <row r="355" spans="1:10">
      <c r="A355" s="6" t="s">
        <v>170</v>
      </c>
      <c r="B355" s="7">
        <v>44915</v>
      </c>
      <c r="C355" s="6" t="s">
        <v>160</v>
      </c>
      <c r="D355" s="6" t="s">
        <v>0</v>
      </c>
      <c r="E355" s="6" t="s">
        <v>5</v>
      </c>
      <c r="F355" s="6">
        <v>107548</v>
      </c>
      <c r="G355" s="6">
        <v>950</v>
      </c>
      <c r="H355" s="12">
        <v>29310.000179999999</v>
      </c>
      <c r="I355" s="6">
        <v>0</v>
      </c>
      <c r="J355" s="11">
        <f>Análises!F355</f>
        <v>-1</v>
      </c>
    </row>
    <row r="356" spans="1:10">
      <c r="A356" s="6" t="s">
        <v>170</v>
      </c>
      <c r="B356" s="7">
        <v>44916</v>
      </c>
      <c r="C356" s="6" t="s">
        <v>160</v>
      </c>
      <c r="D356" s="6" t="s">
        <v>0</v>
      </c>
      <c r="E356" s="6" t="s">
        <v>5</v>
      </c>
      <c r="F356" s="6">
        <v>588617</v>
      </c>
      <c r="G356" s="6">
        <v>5950</v>
      </c>
      <c r="H356" s="12">
        <v>169919.99730000002</v>
      </c>
      <c r="I356" s="6">
        <v>100</v>
      </c>
      <c r="J356" s="11">
        <f>Análises!F356</f>
        <v>-0.8234463248782079</v>
      </c>
    </row>
    <row r="357" spans="1:10">
      <c r="A357" s="6" t="s">
        <v>170</v>
      </c>
      <c r="B357" s="7">
        <v>44917</v>
      </c>
      <c r="C357" s="6" t="s">
        <v>160</v>
      </c>
      <c r="D357" s="6" t="s">
        <v>0</v>
      </c>
      <c r="E357" s="6" t="s">
        <v>5</v>
      </c>
      <c r="F357" s="6">
        <v>190560</v>
      </c>
      <c r="G357" s="6">
        <v>1300</v>
      </c>
      <c r="H357" s="12">
        <v>41630</v>
      </c>
      <c r="I357" s="6">
        <v>250</v>
      </c>
      <c r="J357" s="11">
        <f>Análises!F357</f>
        <v>0.80158539514772997</v>
      </c>
    </row>
    <row r="358" spans="1:10">
      <c r="A358" s="6" t="s">
        <v>170</v>
      </c>
      <c r="B358" s="7">
        <v>44918</v>
      </c>
      <c r="C358" s="6" t="s">
        <v>160</v>
      </c>
      <c r="D358" s="6" t="s">
        <v>0</v>
      </c>
      <c r="E358" s="6" t="s">
        <v>5</v>
      </c>
      <c r="F358" s="6">
        <v>373110</v>
      </c>
      <c r="G358" s="6">
        <v>2450</v>
      </c>
      <c r="H358" s="12">
        <v>75700.000759999995</v>
      </c>
      <c r="I358" s="6">
        <v>250</v>
      </c>
      <c r="J358" s="11">
        <f>Análises!F358</f>
        <v>-9.2470376878764429E-3</v>
      </c>
    </row>
    <row r="359" spans="1:10">
      <c r="A359" s="6" t="s">
        <v>170</v>
      </c>
      <c r="B359" s="7">
        <v>44919</v>
      </c>
      <c r="C359" s="6" t="s">
        <v>160</v>
      </c>
      <c r="D359" s="6" t="s">
        <v>0</v>
      </c>
      <c r="E359" s="6" t="s">
        <v>5</v>
      </c>
      <c r="F359" s="6">
        <v>935646</v>
      </c>
      <c r="G359" s="6">
        <v>8500</v>
      </c>
      <c r="H359" s="12">
        <v>256469.99820000003</v>
      </c>
      <c r="I359" s="6">
        <v>1200</v>
      </c>
      <c r="J359" s="11">
        <f>Análises!F359</f>
        <v>0.40367295405548903</v>
      </c>
    </row>
    <row r="360" spans="1:10">
      <c r="A360" s="6" t="s">
        <v>170</v>
      </c>
      <c r="B360" s="7">
        <v>44920</v>
      </c>
      <c r="C360" s="6" t="s">
        <v>160</v>
      </c>
      <c r="D360" s="6" t="s">
        <v>0</v>
      </c>
      <c r="E360" s="6" t="s">
        <v>5</v>
      </c>
      <c r="F360" s="6">
        <v>2223278</v>
      </c>
      <c r="G360" s="6">
        <v>21050</v>
      </c>
      <c r="H360" s="12">
        <v>612300.00320000004</v>
      </c>
      <c r="I360" s="6">
        <v>2500</v>
      </c>
      <c r="J360" s="11">
        <f>Análises!F360</f>
        <v>0.22488975352009269</v>
      </c>
    </row>
    <row r="361" spans="1:10">
      <c r="A361" s="6" t="s">
        <v>170</v>
      </c>
      <c r="B361" s="7">
        <v>44921</v>
      </c>
      <c r="C361" s="6" t="s">
        <v>160</v>
      </c>
      <c r="D361" s="6" t="s">
        <v>0</v>
      </c>
      <c r="E361" s="6" t="s">
        <v>5</v>
      </c>
      <c r="F361" s="6">
        <v>240497</v>
      </c>
      <c r="G361" s="6">
        <v>1800</v>
      </c>
      <c r="H361" s="12">
        <v>51840.000869999996</v>
      </c>
      <c r="I361" s="6">
        <v>200</v>
      </c>
      <c r="J361" s="11">
        <f>Análises!F361</f>
        <v>0.15740738798332518</v>
      </c>
    </row>
    <row r="362" spans="1:10">
      <c r="A362" s="6" t="s">
        <v>170</v>
      </c>
      <c r="B362" s="7">
        <v>44922</v>
      </c>
      <c r="C362" s="6" t="s">
        <v>160</v>
      </c>
      <c r="D362" s="6" t="s">
        <v>0</v>
      </c>
      <c r="E362" s="6" t="s">
        <v>5</v>
      </c>
      <c r="F362" s="6">
        <v>259984</v>
      </c>
      <c r="G362" s="6">
        <v>1850</v>
      </c>
      <c r="H362" s="12">
        <v>54790.000200000002</v>
      </c>
      <c r="I362" s="6">
        <v>500</v>
      </c>
      <c r="J362" s="11">
        <f>Análises!F362</f>
        <v>1.7377258523901227</v>
      </c>
    </row>
    <row r="363" spans="1:10">
      <c r="A363" s="6" t="s">
        <v>170</v>
      </c>
      <c r="B363" s="7">
        <v>44923</v>
      </c>
      <c r="C363" s="6" t="s">
        <v>160</v>
      </c>
      <c r="D363" s="6" t="s">
        <v>0</v>
      </c>
      <c r="E363" s="6" t="s">
        <v>5</v>
      </c>
      <c r="F363" s="6">
        <v>606786</v>
      </c>
      <c r="G363" s="6">
        <v>6350</v>
      </c>
      <c r="H363" s="12">
        <v>179050.00100000002</v>
      </c>
      <c r="I363" s="6">
        <v>700</v>
      </c>
      <c r="J363" s="11">
        <f>Análises!F363</f>
        <v>0.1728567373758349</v>
      </c>
    </row>
    <row r="364" spans="1:10">
      <c r="A364" s="6" t="s">
        <v>170</v>
      </c>
      <c r="B364" s="7">
        <v>44924</v>
      </c>
      <c r="C364" s="6" t="s">
        <v>160</v>
      </c>
      <c r="D364" s="6" t="s">
        <v>0</v>
      </c>
      <c r="E364" s="6" t="s">
        <v>5</v>
      </c>
      <c r="F364" s="6">
        <v>83270</v>
      </c>
      <c r="G364" s="6">
        <v>650</v>
      </c>
      <c r="H364" s="12">
        <v>17740.00001</v>
      </c>
      <c r="I364" s="6">
        <v>0</v>
      </c>
      <c r="J364" s="11">
        <f>Análises!F364</f>
        <v>-1</v>
      </c>
    </row>
    <row r="365" spans="1:10">
      <c r="A365" s="6" t="s">
        <v>170</v>
      </c>
      <c r="B365" s="7">
        <v>44925</v>
      </c>
      <c r="C365" s="6" t="s">
        <v>160</v>
      </c>
      <c r="D365" s="6" t="s">
        <v>0</v>
      </c>
      <c r="E365" s="6" t="s">
        <v>5</v>
      </c>
      <c r="F365" s="6">
        <v>1189509</v>
      </c>
      <c r="G365" s="6">
        <v>13400</v>
      </c>
      <c r="H365" s="12">
        <v>375719.9963</v>
      </c>
      <c r="I365" s="6">
        <v>600</v>
      </c>
      <c r="J365" s="11">
        <f>Análises!F365</f>
        <v>-0.52091982920100965</v>
      </c>
    </row>
    <row r="366" spans="1:10">
      <c r="A366" s="6" t="s">
        <v>170</v>
      </c>
      <c r="B366" s="7">
        <v>44926</v>
      </c>
      <c r="C366" s="6" t="s">
        <v>160</v>
      </c>
      <c r="D366" s="6" t="s">
        <v>0</v>
      </c>
      <c r="E366" s="6" t="s">
        <v>5</v>
      </c>
      <c r="F366" s="6">
        <v>11471</v>
      </c>
      <c r="G366" s="6">
        <v>50</v>
      </c>
      <c r="H366" s="12">
        <v>1570.0000519999999</v>
      </c>
      <c r="I366" s="6">
        <v>100</v>
      </c>
      <c r="J366" s="11">
        <f>Análises!F366</f>
        <v>18.108279621891377</v>
      </c>
    </row>
    <row r="367" spans="1:10">
      <c r="A367" s="6" t="s">
        <v>170</v>
      </c>
      <c r="B367" s="7">
        <v>44562</v>
      </c>
      <c r="C367" s="6" t="s">
        <v>160</v>
      </c>
      <c r="D367" s="6" t="s">
        <v>0</v>
      </c>
      <c r="E367" s="6" t="s">
        <v>5</v>
      </c>
      <c r="F367" s="6">
        <v>1705246</v>
      </c>
      <c r="G367" s="6">
        <v>14750</v>
      </c>
      <c r="H367" s="12">
        <v>429479.99809999997</v>
      </c>
      <c r="I367" s="6">
        <v>1650</v>
      </c>
      <c r="J367" s="11">
        <f>Análises!F367</f>
        <v>0.15255658514915141</v>
      </c>
    </row>
    <row r="368" spans="1:10">
      <c r="A368" s="6" t="s">
        <v>170</v>
      </c>
      <c r="B368" s="7">
        <v>44563</v>
      </c>
      <c r="C368" s="6" t="s">
        <v>160</v>
      </c>
      <c r="D368" s="6" t="s">
        <v>0</v>
      </c>
      <c r="E368" s="6" t="s">
        <v>5</v>
      </c>
      <c r="F368" s="6">
        <v>418016</v>
      </c>
      <c r="G368" s="6">
        <v>3150</v>
      </c>
      <c r="H368" s="12">
        <v>95850.000499999995</v>
      </c>
      <c r="I368" s="6">
        <v>300</v>
      </c>
      <c r="J368" s="11">
        <f>Análises!F368</f>
        <v>-6.103286874787231E-2</v>
      </c>
    </row>
    <row r="369" spans="1:10">
      <c r="A369" s="6" t="s">
        <v>170</v>
      </c>
      <c r="B369" s="7">
        <v>44564</v>
      </c>
      <c r="C369" s="6" t="s">
        <v>160</v>
      </c>
      <c r="D369" s="6" t="s">
        <v>0</v>
      </c>
      <c r="E369" s="6" t="s">
        <v>5</v>
      </c>
      <c r="F369" s="6">
        <v>30155</v>
      </c>
      <c r="G369" s="6">
        <v>150</v>
      </c>
      <c r="H369" s="12">
        <v>3819.9999330000001</v>
      </c>
      <c r="I369" s="6">
        <v>0</v>
      </c>
      <c r="J369" s="11">
        <f>Análises!F369</f>
        <v>-1</v>
      </c>
    </row>
    <row r="370" spans="1:10">
      <c r="A370" s="6" t="s">
        <v>170</v>
      </c>
      <c r="B370" s="7">
        <v>44565</v>
      </c>
      <c r="C370" s="6" t="s">
        <v>160</v>
      </c>
      <c r="D370" s="6" t="s">
        <v>0</v>
      </c>
      <c r="E370" s="6" t="s">
        <v>5</v>
      </c>
      <c r="F370" s="6">
        <v>990404</v>
      </c>
      <c r="G370" s="6">
        <v>7650</v>
      </c>
      <c r="H370" s="12">
        <v>226539.99920000002</v>
      </c>
      <c r="I370" s="6">
        <v>900</v>
      </c>
      <c r="J370" s="11">
        <f>Análises!F370</f>
        <v>0.19184250442956644</v>
      </c>
    </row>
    <row r="371" spans="1:10">
      <c r="A371" s="6" t="s">
        <v>170</v>
      </c>
      <c r="B371" s="7">
        <v>44566</v>
      </c>
      <c r="C371" s="6" t="s">
        <v>160</v>
      </c>
      <c r="D371" s="6" t="s">
        <v>0</v>
      </c>
      <c r="E371" s="6" t="s">
        <v>5</v>
      </c>
      <c r="F371" s="6">
        <v>187468</v>
      </c>
      <c r="G371" s="6">
        <v>1700</v>
      </c>
      <c r="H371" s="12">
        <v>50720.000619999999</v>
      </c>
      <c r="I371" s="6">
        <v>0</v>
      </c>
      <c r="J371" s="11">
        <f>Análises!F371</f>
        <v>-1</v>
      </c>
    </row>
    <row r="372" spans="1:10">
      <c r="A372" s="6" t="s">
        <v>170</v>
      </c>
      <c r="B372" s="7">
        <v>44567</v>
      </c>
      <c r="C372" s="6" t="s">
        <v>160</v>
      </c>
      <c r="D372" s="6" t="s">
        <v>0</v>
      </c>
      <c r="E372" s="6" t="s">
        <v>5</v>
      </c>
      <c r="F372" s="6">
        <v>208301</v>
      </c>
      <c r="G372" s="6">
        <v>1650</v>
      </c>
      <c r="H372" s="12">
        <v>54570.000890000003</v>
      </c>
      <c r="I372" s="6">
        <v>0</v>
      </c>
      <c r="J372" s="11">
        <f>Análises!F372</f>
        <v>-1</v>
      </c>
    </row>
    <row r="373" spans="1:10">
      <c r="A373" s="6" t="s">
        <v>170</v>
      </c>
      <c r="B373" s="7">
        <v>44568</v>
      </c>
      <c r="C373" s="6" t="s">
        <v>160</v>
      </c>
      <c r="D373" s="6" t="s">
        <v>0</v>
      </c>
      <c r="E373" s="6" t="s">
        <v>5</v>
      </c>
      <c r="F373" s="6">
        <v>101856</v>
      </c>
      <c r="G373" s="6">
        <v>800</v>
      </c>
      <c r="H373" s="12">
        <v>25220.000389999997</v>
      </c>
      <c r="I373" s="6">
        <v>100</v>
      </c>
      <c r="J373" s="11">
        <f>Análises!F373</f>
        <v>0.18953209897234277</v>
      </c>
    </row>
    <row r="374" spans="1:10">
      <c r="A374" s="6" t="s">
        <v>170</v>
      </c>
      <c r="B374" s="7">
        <v>44569</v>
      </c>
      <c r="C374" s="6" t="s">
        <v>160</v>
      </c>
      <c r="D374" s="6" t="s">
        <v>0</v>
      </c>
      <c r="E374" s="6" t="s">
        <v>5</v>
      </c>
      <c r="F374" s="6">
        <v>48935</v>
      </c>
      <c r="G374" s="6">
        <v>350</v>
      </c>
      <c r="H374" s="12">
        <v>9970.0002669999994</v>
      </c>
      <c r="I374" s="6">
        <v>50</v>
      </c>
      <c r="J374" s="11">
        <f>Análises!F374</f>
        <v>0.50451350033048104</v>
      </c>
    </row>
    <row r="375" spans="1:10">
      <c r="A375" s="6" t="s">
        <v>170</v>
      </c>
      <c r="B375" s="7">
        <v>44570</v>
      </c>
      <c r="C375" s="6" t="s">
        <v>160</v>
      </c>
      <c r="D375" s="6" t="s">
        <v>0</v>
      </c>
      <c r="E375" s="6" t="s">
        <v>5</v>
      </c>
      <c r="F375" s="6">
        <v>13911</v>
      </c>
      <c r="G375" s="6">
        <v>50</v>
      </c>
      <c r="H375" s="12">
        <v>1730.0000190000001</v>
      </c>
      <c r="I375" s="6">
        <v>50</v>
      </c>
      <c r="J375" s="11">
        <f>Análises!F375</f>
        <v>7.6705201359885073</v>
      </c>
    </row>
    <row r="376" spans="1:10">
      <c r="A376" s="6" t="s">
        <v>170</v>
      </c>
      <c r="B376" s="7">
        <v>44571</v>
      </c>
      <c r="C376" s="6" t="s">
        <v>160</v>
      </c>
      <c r="D376" s="6" t="s">
        <v>0</v>
      </c>
      <c r="E376" s="6" t="s">
        <v>5</v>
      </c>
      <c r="F376" s="6">
        <v>511726</v>
      </c>
      <c r="G376" s="6">
        <v>3850</v>
      </c>
      <c r="H376" s="12">
        <v>123090.0019</v>
      </c>
      <c r="I376" s="6">
        <v>650</v>
      </c>
      <c r="J376" s="11">
        <f>Análises!F376</f>
        <v>0.58420665358686619</v>
      </c>
    </row>
    <row r="377" spans="1:10">
      <c r="A377" s="6" t="s">
        <v>170</v>
      </c>
      <c r="B377" s="7">
        <v>44572</v>
      </c>
      <c r="C377" s="6" t="s">
        <v>160</v>
      </c>
      <c r="D377" s="6" t="s">
        <v>0</v>
      </c>
      <c r="E377" s="6" t="s">
        <v>5</v>
      </c>
      <c r="F377" s="6">
        <v>177452</v>
      </c>
      <c r="G377" s="6">
        <v>1200</v>
      </c>
      <c r="H377" s="12">
        <v>37830.000159999996</v>
      </c>
      <c r="I377" s="6">
        <v>250</v>
      </c>
      <c r="J377" s="11">
        <f>Análises!F377</f>
        <v>0.98255352056017564</v>
      </c>
    </row>
    <row r="378" spans="1:10">
      <c r="A378" s="6" t="s">
        <v>170</v>
      </c>
      <c r="B378" s="7">
        <v>44573</v>
      </c>
      <c r="C378" s="6" t="s">
        <v>160</v>
      </c>
      <c r="D378" s="6" t="s">
        <v>0</v>
      </c>
      <c r="E378" s="6" t="s">
        <v>5</v>
      </c>
      <c r="F378" s="6">
        <v>149808</v>
      </c>
      <c r="G378" s="6">
        <v>1000</v>
      </c>
      <c r="H378" s="12">
        <v>33039.999369999998</v>
      </c>
      <c r="I378" s="6">
        <v>0</v>
      </c>
      <c r="J378" s="11">
        <f>Análises!F378</f>
        <v>-1</v>
      </c>
    </row>
    <row r="379" spans="1:10">
      <c r="A379" s="6" t="s">
        <v>170</v>
      </c>
      <c r="B379" s="7">
        <v>44574</v>
      </c>
      <c r="C379" s="6" t="s">
        <v>160</v>
      </c>
      <c r="D379" s="6" t="s">
        <v>0</v>
      </c>
      <c r="E379" s="6" t="s">
        <v>5</v>
      </c>
      <c r="F379" s="6">
        <v>390339</v>
      </c>
      <c r="G379" s="6">
        <v>3000</v>
      </c>
      <c r="H379" s="12">
        <v>105019.9997</v>
      </c>
      <c r="I379" s="6">
        <v>750</v>
      </c>
      <c r="J379" s="11">
        <f>Análises!F379</f>
        <v>1.1424490634425322</v>
      </c>
    </row>
    <row r="380" spans="1:10">
      <c r="A380" s="6" t="s">
        <v>170</v>
      </c>
      <c r="B380" s="7">
        <v>44575</v>
      </c>
      <c r="C380" s="6" t="s">
        <v>160</v>
      </c>
      <c r="D380" s="6" t="s">
        <v>0</v>
      </c>
      <c r="E380" s="6" t="s">
        <v>5</v>
      </c>
      <c r="F380" s="6">
        <v>39339</v>
      </c>
      <c r="G380" s="6">
        <v>200</v>
      </c>
      <c r="H380" s="12">
        <v>5929.9999479999997</v>
      </c>
      <c r="I380" s="6">
        <v>200</v>
      </c>
      <c r="J380" s="11">
        <f>Análises!F380</f>
        <v>9.1180439335814985</v>
      </c>
    </row>
    <row r="381" spans="1:10">
      <c r="A381" s="6" t="s">
        <v>170</v>
      </c>
      <c r="B381" s="7">
        <v>44576</v>
      </c>
      <c r="C381" s="6" t="s">
        <v>160</v>
      </c>
      <c r="D381" s="6" t="s">
        <v>0</v>
      </c>
      <c r="E381" s="6" t="s">
        <v>5</v>
      </c>
      <c r="F381" s="6">
        <v>24893</v>
      </c>
      <c r="G381" s="6">
        <v>100</v>
      </c>
      <c r="H381" s="12">
        <v>3750</v>
      </c>
      <c r="I381" s="6">
        <v>50</v>
      </c>
      <c r="J381" s="11">
        <f>Análises!F381</f>
        <v>3</v>
      </c>
    </row>
    <row r="382" spans="1:10">
      <c r="A382" s="6" t="s">
        <v>170</v>
      </c>
      <c r="B382" s="7">
        <v>44577</v>
      </c>
      <c r="C382" s="6" t="s">
        <v>160</v>
      </c>
      <c r="D382" s="6" t="s">
        <v>0</v>
      </c>
      <c r="E382" s="6" t="s">
        <v>5</v>
      </c>
      <c r="F382" s="6">
        <v>1296189</v>
      </c>
      <c r="G382" s="6">
        <v>10600</v>
      </c>
      <c r="H382" s="12">
        <v>343259.99439999997</v>
      </c>
      <c r="I382" s="6">
        <v>1000</v>
      </c>
      <c r="J382" s="11">
        <f>Análises!F382</f>
        <v>-0.12602690411277351</v>
      </c>
    </row>
    <row r="383" spans="1:10">
      <c r="A383" s="6" t="s">
        <v>170</v>
      </c>
      <c r="B383" s="7">
        <v>44578</v>
      </c>
      <c r="C383" s="6" t="s">
        <v>160</v>
      </c>
      <c r="D383" s="6" t="s">
        <v>0</v>
      </c>
      <c r="E383" s="6" t="s">
        <v>5</v>
      </c>
      <c r="F383" s="6">
        <v>91607</v>
      </c>
      <c r="G383" s="6">
        <v>600</v>
      </c>
      <c r="H383" s="12">
        <v>19189.9997</v>
      </c>
      <c r="I383" s="6">
        <v>50</v>
      </c>
      <c r="J383" s="11">
        <f>Análises!F383</f>
        <v>-0.21834287470051394</v>
      </c>
    </row>
    <row r="384" spans="1:10">
      <c r="A384" s="6" t="s">
        <v>170</v>
      </c>
      <c r="B384" s="7">
        <v>44579</v>
      </c>
      <c r="C384" s="6" t="s">
        <v>160</v>
      </c>
      <c r="D384" s="6" t="s">
        <v>0</v>
      </c>
      <c r="E384" s="6" t="s">
        <v>5</v>
      </c>
      <c r="F384" s="6">
        <v>238036</v>
      </c>
      <c r="G384" s="6">
        <v>1900</v>
      </c>
      <c r="H384" s="12">
        <v>61029.997710000003</v>
      </c>
      <c r="I384" s="6">
        <v>550</v>
      </c>
      <c r="J384" s="11">
        <f>Análises!F384</f>
        <v>1.7035885005934404</v>
      </c>
    </row>
    <row r="385" spans="1:10">
      <c r="A385" s="6" t="s">
        <v>170</v>
      </c>
      <c r="B385" s="7">
        <v>44580</v>
      </c>
      <c r="C385" s="6" t="s">
        <v>160</v>
      </c>
      <c r="D385" s="6" t="s">
        <v>0</v>
      </c>
      <c r="E385" s="6" t="s">
        <v>5</v>
      </c>
      <c r="F385" s="6">
        <v>254344</v>
      </c>
      <c r="G385" s="6">
        <v>1750</v>
      </c>
      <c r="H385" s="12">
        <v>56169.999960000001</v>
      </c>
      <c r="I385" s="6">
        <v>150</v>
      </c>
      <c r="J385" s="11">
        <f>Análises!F385</f>
        <v>-0.19886060117419307</v>
      </c>
    </row>
    <row r="386" spans="1:10">
      <c r="A386" s="6" t="s">
        <v>170</v>
      </c>
      <c r="B386" s="7">
        <v>44581</v>
      </c>
      <c r="C386" s="6" t="s">
        <v>160</v>
      </c>
      <c r="D386" s="6" t="s">
        <v>0</v>
      </c>
      <c r="E386" s="6" t="s">
        <v>5</v>
      </c>
      <c r="F386" s="6">
        <v>157705</v>
      </c>
      <c r="G386" s="6">
        <v>1150</v>
      </c>
      <c r="H386" s="12">
        <v>39230.000260000001</v>
      </c>
      <c r="I386" s="6">
        <v>150</v>
      </c>
      <c r="J386" s="11">
        <f>Análises!F386</f>
        <v>0.147081307717534</v>
      </c>
    </row>
    <row r="387" spans="1:10">
      <c r="A387" s="6" t="s">
        <v>170</v>
      </c>
      <c r="B387" s="7">
        <v>44582</v>
      </c>
      <c r="C387" s="6" t="s">
        <v>160</v>
      </c>
      <c r="D387" s="6" t="s">
        <v>0</v>
      </c>
      <c r="E387" s="6" t="s">
        <v>5</v>
      </c>
      <c r="F387" s="6">
        <v>411571</v>
      </c>
      <c r="G387" s="6">
        <v>3000</v>
      </c>
      <c r="H387" s="12">
        <v>99179.998399999997</v>
      </c>
      <c r="I387" s="6">
        <v>650</v>
      </c>
      <c r="J387" s="11">
        <f>Análises!F387</f>
        <v>0.96612223377491002</v>
      </c>
    </row>
    <row r="388" spans="1:10">
      <c r="A388" s="6" t="s">
        <v>170</v>
      </c>
      <c r="B388" s="7">
        <v>44583</v>
      </c>
      <c r="C388" s="6" t="s">
        <v>160</v>
      </c>
      <c r="D388" s="6" t="s">
        <v>0</v>
      </c>
      <c r="E388" s="6" t="s">
        <v>5</v>
      </c>
      <c r="F388" s="6">
        <v>94136</v>
      </c>
      <c r="G388" s="6">
        <v>550</v>
      </c>
      <c r="H388" s="12">
        <v>16179.99971</v>
      </c>
      <c r="I388" s="6">
        <v>50</v>
      </c>
      <c r="J388" s="11">
        <f>Análises!F388</f>
        <v>-7.2929526029021169E-2</v>
      </c>
    </row>
    <row r="389" spans="1:10">
      <c r="A389" s="6" t="s">
        <v>170</v>
      </c>
      <c r="B389" s="7">
        <v>44584</v>
      </c>
      <c r="C389" s="6" t="s">
        <v>160</v>
      </c>
      <c r="D389" s="6" t="s">
        <v>0</v>
      </c>
      <c r="E389" s="6" t="s">
        <v>5</v>
      </c>
      <c r="F389" s="6">
        <v>82640</v>
      </c>
      <c r="G389" s="6">
        <v>800</v>
      </c>
      <c r="H389" s="12">
        <v>23970.000389999997</v>
      </c>
      <c r="I389" s="6">
        <v>50</v>
      </c>
      <c r="J389" s="11">
        <f>Análises!F389</f>
        <v>-0.37421778239695719</v>
      </c>
    </row>
    <row r="390" spans="1:10">
      <c r="A390" s="6" t="s">
        <v>170</v>
      </c>
      <c r="B390" s="7">
        <v>44585</v>
      </c>
      <c r="C390" s="6" t="s">
        <v>160</v>
      </c>
      <c r="D390" s="6" t="s">
        <v>0</v>
      </c>
      <c r="E390" s="6" t="s">
        <v>5</v>
      </c>
      <c r="F390" s="6">
        <v>17870</v>
      </c>
      <c r="G390" s="6">
        <v>100</v>
      </c>
      <c r="H390" s="12">
        <v>2620.0000049999999</v>
      </c>
      <c r="I390" s="6">
        <v>100</v>
      </c>
      <c r="J390" s="11">
        <f>Análises!F390</f>
        <v>10.45038165753744</v>
      </c>
    </row>
    <row r="391" spans="1:10">
      <c r="A391" s="6" t="s">
        <v>170</v>
      </c>
      <c r="B391" s="7">
        <v>44586</v>
      </c>
      <c r="C391" s="6" t="s">
        <v>160</v>
      </c>
      <c r="D391" s="6" t="s">
        <v>0</v>
      </c>
      <c r="E391" s="6" t="s">
        <v>5</v>
      </c>
      <c r="F391" s="6">
        <v>19178</v>
      </c>
      <c r="G391" s="6">
        <v>100</v>
      </c>
      <c r="H391" s="12">
        <v>2779.9999710000002</v>
      </c>
      <c r="I391" s="6">
        <v>250</v>
      </c>
      <c r="J391" s="11">
        <f>Análises!F391</f>
        <v>25.978417547616584</v>
      </c>
    </row>
    <row r="392" spans="1:10">
      <c r="A392" s="6" t="s">
        <v>170</v>
      </c>
      <c r="B392" s="7">
        <v>44587</v>
      </c>
      <c r="C392" s="6" t="s">
        <v>160</v>
      </c>
      <c r="D392" s="6" t="s">
        <v>0</v>
      </c>
      <c r="E392" s="6" t="s">
        <v>5</v>
      </c>
      <c r="F392" s="6">
        <v>145548</v>
      </c>
      <c r="G392" s="6">
        <v>1400</v>
      </c>
      <c r="H392" s="12">
        <v>42370.000359999998</v>
      </c>
      <c r="I392" s="6">
        <v>200</v>
      </c>
      <c r="J392" s="11">
        <f>Análises!F392</f>
        <v>0.41609628251605713</v>
      </c>
    </row>
    <row r="393" spans="1:10">
      <c r="A393" s="6" t="s">
        <v>170</v>
      </c>
      <c r="B393" s="7">
        <v>44588</v>
      </c>
      <c r="C393" s="6" t="s">
        <v>160</v>
      </c>
      <c r="D393" s="6" t="s">
        <v>0</v>
      </c>
      <c r="E393" s="6" t="s">
        <v>5</v>
      </c>
      <c r="F393" s="6">
        <v>82455</v>
      </c>
      <c r="G393" s="6">
        <v>750</v>
      </c>
      <c r="H393" s="12">
        <v>22049.99971</v>
      </c>
      <c r="I393" s="6">
        <v>100</v>
      </c>
      <c r="J393" s="11">
        <f>Análises!F393</f>
        <v>0.36054423558085391</v>
      </c>
    </row>
    <row r="394" spans="1:10">
      <c r="A394" s="6" t="s">
        <v>170</v>
      </c>
      <c r="B394" s="7">
        <v>44589</v>
      </c>
      <c r="C394" s="6" t="s">
        <v>160</v>
      </c>
      <c r="D394" s="6" t="s">
        <v>0</v>
      </c>
      <c r="E394" s="6" t="s">
        <v>5</v>
      </c>
      <c r="F394" s="6">
        <v>44189</v>
      </c>
      <c r="G394" s="6">
        <v>350</v>
      </c>
      <c r="H394" s="12">
        <v>10319.999810000001</v>
      </c>
      <c r="I394" s="6">
        <v>250</v>
      </c>
      <c r="J394" s="11">
        <f>Análises!F394</f>
        <v>6.26744199426492</v>
      </c>
    </row>
    <row r="395" spans="1:10">
      <c r="A395" s="6" t="s">
        <v>170</v>
      </c>
      <c r="B395" s="7">
        <v>44590</v>
      </c>
      <c r="C395" s="6" t="s">
        <v>160</v>
      </c>
      <c r="D395" s="6" t="s">
        <v>0</v>
      </c>
      <c r="E395" s="6" t="s">
        <v>5</v>
      </c>
      <c r="F395" s="6">
        <v>45199</v>
      </c>
      <c r="G395" s="6">
        <v>350</v>
      </c>
      <c r="H395" s="12">
        <v>9809.9999429999989</v>
      </c>
      <c r="I395" s="6">
        <v>50</v>
      </c>
      <c r="J395" s="11">
        <f>Análises!F395</f>
        <v>0.52905199665198421</v>
      </c>
    </row>
    <row r="396" spans="1:10">
      <c r="A396" s="6" t="s">
        <v>170</v>
      </c>
      <c r="B396" s="7">
        <v>44591</v>
      </c>
      <c r="C396" s="6" t="s">
        <v>160</v>
      </c>
      <c r="D396" s="6" t="s">
        <v>0</v>
      </c>
      <c r="E396" s="6" t="s">
        <v>5</v>
      </c>
      <c r="F396" s="6">
        <v>221843</v>
      </c>
      <c r="G396" s="6">
        <v>2150</v>
      </c>
      <c r="H396" s="12">
        <v>63450.000760000003</v>
      </c>
      <c r="I396" s="6">
        <v>250</v>
      </c>
      <c r="J396" s="11">
        <f>Análises!F396</f>
        <v>0.18203308276839802</v>
      </c>
    </row>
    <row r="397" spans="1:10">
      <c r="A397" s="6" t="s">
        <v>170</v>
      </c>
      <c r="B397" s="7">
        <v>44592</v>
      </c>
      <c r="C397" s="6" t="s">
        <v>160</v>
      </c>
      <c r="D397" s="6" t="s">
        <v>0</v>
      </c>
      <c r="E397" s="6" t="s">
        <v>5</v>
      </c>
      <c r="F397" s="6">
        <v>41672</v>
      </c>
      <c r="G397" s="6">
        <v>300</v>
      </c>
      <c r="H397" s="12">
        <v>10549.999949999999</v>
      </c>
      <c r="I397" s="6">
        <v>100</v>
      </c>
      <c r="J397" s="11">
        <f>Análises!F397</f>
        <v>1.8436019092113838</v>
      </c>
    </row>
    <row r="398" spans="1:10">
      <c r="A398" s="6" t="s">
        <v>170</v>
      </c>
      <c r="B398" s="7">
        <v>44593</v>
      </c>
      <c r="C398" s="6" t="s">
        <v>160</v>
      </c>
      <c r="D398" s="6" t="s">
        <v>0</v>
      </c>
      <c r="E398" s="6" t="s">
        <v>5</v>
      </c>
      <c r="F398" s="6">
        <v>524306</v>
      </c>
      <c r="G398" s="6">
        <v>4050</v>
      </c>
      <c r="H398" s="12">
        <v>113680.00290000001</v>
      </c>
      <c r="I398" s="6">
        <v>750</v>
      </c>
      <c r="J398" s="11">
        <f>Análises!F398</f>
        <v>0.97923992135999482</v>
      </c>
    </row>
    <row r="399" spans="1:10">
      <c r="A399" s="6" t="s">
        <v>170</v>
      </c>
      <c r="B399" s="7">
        <v>44594</v>
      </c>
      <c r="C399" s="6" t="s">
        <v>160</v>
      </c>
      <c r="D399" s="6" t="s">
        <v>0</v>
      </c>
      <c r="E399" s="6" t="s">
        <v>5</v>
      </c>
      <c r="F399" s="6">
        <v>104496</v>
      </c>
      <c r="G399" s="6">
        <v>450</v>
      </c>
      <c r="H399" s="12">
        <v>11429.999830000001</v>
      </c>
      <c r="I399" s="6">
        <v>350</v>
      </c>
      <c r="J399" s="11">
        <f>Análises!F399</f>
        <v>8.1863518426666495</v>
      </c>
    </row>
    <row r="400" spans="1:10">
      <c r="A400" s="6" t="s">
        <v>170</v>
      </c>
      <c r="B400" s="7">
        <v>44595</v>
      </c>
      <c r="C400" s="6" t="s">
        <v>160</v>
      </c>
      <c r="D400" s="6" t="s">
        <v>0</v>
      </c>
      <c r="E400" s="6" t="s">
        <v>5</v>
      </c>
      <c r="F400" s="6">
        <v>452519</v>
      </c>
      <c r="G400" s="6">
        <v>3400</v>
      </c>
      <c r="H400" s="12">
        <v>99520.002370000002</v>
      </c>
      <c r="I400" s="6">
        <v>350</v>
      </c>
      <c r="J400" s="11">
        <f>Análises!F400</f>
        <v>5.5064283556045479E-2</v>
      </c>
    </row>
    <row r="401" spans="1:10">
      <c r="A401" s="6" t="s">
        <v>170</v>
      </c>
      <c r="B401" s="7">
        <v>44596</v>
      </c>
      <c r="C401" s="6" t="s">
        <v>160</v>
      </c>
      <c r="D401" s="6" t="s">
        <v>0</v>
      </c>
      <c r="E401" s="6" t="s">
        <v>5</v>
      </c>
      <c r="F401" s="6">
        <v>442919</v>
      </c>
      <c r="G401" s="6">
        <v>3800</v>
      </c>
      <c r="H401" s="12">
        <v>110780.0021</v>
      </c>
      <c r="I401" s="6">
        <v>1150</v>
      </c>
      <c r="J401" s="11">
        <f>Análises!F401</f>
        <v>2.1142804970212219</v>
      </c>
    </row>
    <row r="402" spans="1:10">
      <c r="A402" s="6" t="s">
        <v>170</v>
      </c>
      <c r="B402" s="7">
        <v>44597</v>
      </c>
      <c r="C402" s="6" t="s">
        <v>160</v>
      </c>
      <c r="D402" s="6" t="s">
        <v>0</v>
      </c>
      <c r="E402" s="6" t="s">
        <v>5</v>
      </c>
      <c r="F402" s="6">
        <v>596831</v>
      </c>
      <c r="G402" s="6">
        <v>4300</v>
      </c>
      <c r="H402" s="12">
        <v>120879.99920000001</v>
      </c>
      <c r="I402" s="6">
        <v>550</v>
      </c>
      <c r="J402" s="11">
        <f>Análises!F402</f>
        <v>0.36499008183315734</v>
      </c>
    </row>
    <row r="403" spans="1:10">
      <c r="A403" s="6" t="s">
        <v>170</v>
      </c>
      <c r="B403" s="7">
        <v>44598</v>
      </c>
      <c r="C403" s="6" t="s">
        <v>160</v>
      </c>
      <c r="D403" s="6" t="s">
        <v>0</v>
      </c>
      <c r="E403" s="6" t="s">
        <v>5</v>
      </c>
      <c r="F403" s="6">
        <v>173912</v>
      </c>
      <c r="G403" s="6">
        <v>1300</v>
      </c>
      <c r="H403" s="12">
        <v>35540.000319999999</v>
      </c>
      <c r="I403" s="6">
        <v>250</v>
      </c>
      <c r="J403" s="11">
        <f>Análises!F403</f>
        <v>1.1102982364857785</v>
      </c>
    </row>
    <row r="404" spans="1:10">
      <c r="A404" s="6" t="s">
        <v>170</v>
      </c>
      <c r="B404" s="7">
        <v>44599</v>
      </c>
      <c r="C404" s="6" t="s">
        <v>160</v>
      </c>
      <c r="D404" s="6" t="s">
        <v>0</v>
      </c>
      <c r="E404" s="6" t="s">
        <v>5</v>
      </c>
      <c r="F404" s="6">
        <v>780967</v>
      </c>
      <c r="G404" s="6">
        <v>4300</v>
      </c>
      <c r="H404" s="12">
        <v>119640.0018</v>
      </c>
      <c r="I404" s="6">
        <v>1300</v>
      </c>
      <c r="J404" s="11">
        <f>Análises!F404</f>
        <v>2.2597792889702215</v>
      </c>
    </row>
    <row r="405" spans="1:10">
      <c r="A405" s="6" t="s">
        <v>170</v>
      </c>
      <c r="B405" s="7">
        <v>44600</v>
      </c>
      <c r="C405" s="6" t="s">
        <v>160</v>
      </c>
      <c r="D405" s="6" t="s">
        <v>0</v>
      </c>
      <c r="E405" s="6" t="s">
        <v>5</v>
      </c>
      <c r="F405" s="6">
        <v>132124</v>
      </c>
      <c r="G405" s="6">
        <v>400</v>
      </c>
      <c r="H405" s="12">
        <v>11189.99994</v>
      </c>
      <c r="I405" s="6">
        <v>150</v>
      </c>
      <c r="J405" s="11">
        <f>Análises!F405</f>
        <v>3.021447742742347</v>
      </c>
    </row>
    <row r="406" spans="1:10">
      <c r="A406" s="6" t="s">
        <v>170</v>
      </c>
      <c r="B406" s="7">
        <v>44601</v>
      </c>
      <c r="C406" s="6" t="s">
        <v>160</v>
      </c>
      <c r="D406" s="6" t="s">
        <v>0</v>
      </c>
      <c r="E406" s="6" t="s">
        <v>5</v>
      </c>
      <c r="F406" s="6">
        <v>623137</v>
      </c>
      <c r="G406" s="6">
        <v>5000</v>
      </c>
      <c r="H406" s="12">
        <v>138920.0006</v>
      </c>
      <c r="I406" s="6">
        <v>600</v>
      </c>
      <c r="J406" s="11">
        <f>Análises!F406</f>
        <v>0.29570975541732036</v>
      </c>
    </row>
    <row r="407" spans="1:10">
      <c r="A407" s="6" t="s">
        <v>170</v>
      </c>
      <c r="B407" s="7">
        <v>44602</v>
      </c>
      <c r="C407" s="6" t="s">
        <v>160</v>
      </c>
      <c r="D407" s="6" t="s">
        <v>0</v>
      </c>
      <c r="E407" s="6" t="s">
        <v>5</v>
      </c>
      <c r="F407" s="6">
        <v>99020</v>
      </c>
      <c r="G407" s="6">
        <v>500</v>
      </c>
      <c r="H407" s="12">
        <v>14480.00044</v>
      </c>
      <c r="I407" s="6">
        <v>200</v>
      </c>
      <c r="J407" s="11">
        <f>Análises!F407</f>
        <v>3.1436462829278753</v>
      </c>
    </row>
    <row r="408" spans="1:10">
      <c r="A408" s="6" t="s">
        <v>170</v>
      </c>
      <c r="B408" s="7">
        <v>44603</v>
      </c>
      <c r="C408" s="6" t="s">
        <v>160</v>
      </c>
      <c r="D408" s="6" t="s">
        <v>0</v>
      </c>
      <c r="E408" s="6" t="s">
        <v>5</v>
      </c>
      <c r="F408" s="6">
        <v>665817</v>
      </c>
      <c r="G408" s="6">
        <v>5850</v>
      </c>
      <c r="H408" s="12">
        <v>163800.00020000001</v>
      </c>
      <c r="I408" s="6">
        <v>1650</v>
      </c>
      <c r="J408" s="11">
        <f>Análises!F408</f>
        <v>2.0219780182881828</v>
      </c>
    </row>
    <row r="409" spans="1:10">
      <c r="A409" s="6" t="s">
        <v>170</v>
      </c>
      <c r="B409" s="7">
        <v>44604</v>
      </c>
      <c r="C409" s="6" t="s">
        <v>160</v>
      </c>
      <c r="D409" s="6" t="s">
        <v>0</v>
      </c>
      <c r="E409" s="6" t="s">
        <v>5</v>
      </c>
      <c r="F409" s="6">
        <v>699232</v>
      </c>
      <c r="G409" s="6">
        <v>4000</v>
      </c>
      <c r="H409" s="12">
        <v>111989.99949999999</v>
      </c>
      <c r="I409" s="6">
        <v>750</v>
      </c>
      <c r="J409" s="11">
        <f>Análises!F409</f>
        <v>1.009107965037539</v>
      </c>
    </row>
    <row r="410" spans="1:10">
      <c r="A410" s="6" t="s">
        <v>171</v>
      </c>
      <c r="B410" s="7">
        <v>44605</v>
      </c>
      <c r="C410" s="6" t="s">
        <v>160</v>
      </c>
      <c r="D410" s="6" t="s">
        <v>0</v>
      </c>
      <c r="E410" s="6" t="s">
        <v>1</v>
      </c>
      <c r="F410" s="6">
        <v>1194718</v>
      </c>
      <c r="G410" s="6">
        <v>7050</v>
      </c>
      <c r="H410" s="12">
        <v>254049.99599999998</v>
      </c>
      <c r="I410" s="6">
        <v>2500</v>
      </c>
      <c r="J410" s="11">
        <f>Análises!F410</f>
        <v>1.952174815228102</v>
      </c>
    </row>
    <row r="411" spans="1:10">
      <c r="A411" s="6" t="s">
        <v>171</v>
      </c>
      <c r="B411" s="7">
        <v>44606</v>
      </c>
      <c r="C411" s="6" t="s">
        <v>160</v>
      </c>
      <c r="D411" s="6" t="s">
        <v>0</v>
      </c>
      <c r="E411" s="6" t="s">
        <v>1</v>
      </c>
      <c r="F411" s="6">
        <v>637648</v>
      </c>
      <c r="G411" s="6">
        <v>3350</v>
      </c>
      <c r="H411" s="12">
        <v>122400</v>
      </c>
      <c r="I411" s="6">
        <v>1300</v>
      </c>
      <c r="J411" s="11">
        <f>Análises!F411</f>
        <v>2.1862745098039214</v>
      </c>
    </row>
    <row r="412" spans="1:10">
      <c r="A412" s="6" t="s">
        <v>171</v>
      </c>
      <c r="B412" s="7">
        <v>44607</v>
      </c>
      <c r="C412" s="6" t="s">
        <v>160</v>
      </c>
      <c r="D412" s="6" t="s">
        <v>0</v>
      </c>
      <c r="E412" s="6" t="s">
        <v>1</v>
      </c>
      <c r="F412" s="6">
        <v>459690</v>
      </c>
      <c r="G412" s="6">
        <v>2500</v>
      </c>
      <c r="H412" s="12">
        <v>86330.001120000001</v>
      </c>
      <c r="I412" s="6">
        <v>750</v>
      </c>
      <c r="J412" s="11">
        <f>Análises!F412</f>
        <v>1.6062782008683936</v>
      </c>
    </row>
    <row r="413" spans="1:10">
      <c r="A413" s="6" t="s">
        <v>171</v>
      </c>
      <c r="B413" s="7">
        <v>44608</v>
      </c>
      <c r="C413" s="6" t="s">
        <v>160</v>
      </c>
      <c r="D413" s="6" t="s">
        <v>0</v>
      </c>
      <c r="E413" s="6" t="s">
        <v>1</v>
      </c>
      <c r="F413" s="6">
        <v>750060</v>
      </c>
      <c r="G413" s="6">
        <v>4300</v>
      </c>
      <c r="H413" s="12">
        <v>161909.99909999999</v>
      </c>
      <c r="I413" s="6">
        <v>1050</v>
      </c>
      <c r="J413" s="11">
        <f>Análises!F413</f>
        <v>0.94552530264327583</v>
      </c>
    </row>
    <row r="414" spans="1:10">
      <c r="A414" s="6" t="s">
        <v>171</v>
      </c>
      <c r="B414" s="7">
        <v>44609</v>
      </c>
      <c r="C414" s="6" t="s">
        <v>160</v>
      </c>
      <c r="D414" s="6" t="s">
        <v>0</v>
      </c>
      <c r="E414" s="6" t="s">
        <v>1</v>
      </c>
      <c r="F414" s="6">
        <v>30068</v>
      </c>
      <c r="G414" s="6">
        <v>50</v>
      </c>
      <c r="H414" s="12">
        <v>1820.0000519999999</v>
      </c>
      <c r="I414" s="6">
        <v>450</v>
      </c>
      <c r="J414" s="11">
        <f>Análises!F414</f>
        <v>73.175822056514988</v>
      </c>
    </row>
    <row r="415" spans="1:10">
      <c r="A415" s="6" t="s">
        <v>171</v>
      </c>
      <c r="B415" s="7">
        <v>44610</v>
      </c>
      <c r="C415" s="6" t="s">
        <v>160</v>
      </c>
      <c r="D415" s="6" t="s">
        <v>0</v>
      </c>
      <c r="E415" s="6" t="s">
        <v>1</v>
      </c>
      <c r="F415" s="6">
        <v>1267550</v>
      </c>
      <c r="G415" s="6">
        <v>6150</v>
      </c>
      <c r="H415" s="12">
        <v>236769.99860000002</v>
      </c>
      <c r="I415" s="6">
        <v>2050</v>
      </c>
      <c r="J415" s="11">
        <f>Análises!F415</f>
        <v>1.5974574635149739</v>
      </c>
    </row>
    <row r="416" spans="1:10">
      <c r="A416" s="6" t="s">
        <v>171</v>
      </c>
      <c r="B416" s="7">
        <v>44611</v>
      </c>
      <c r="C416" s="6" t="s">
        <v>160</v>
      </c>
      <c r="D416" s="6" t="s">
        <v>0</v>
      </c>
      <c r="E416" s="6" t="s">
        <v>1</v>
      </c>
      <c r="F416" s="6">
        <v>3052003</v>
      </c>
      <c r="G416" s="6">
        <v>17000</v>
      </c>
      <c r="H416" s="12">
        <v>639949.99809999997</v>
      </c>
      <c r="I416" s="6">
        <v>4300</v>
      </c>
      <c r="J416" s="11">
        <f>Análises!F416</f>
        <v>1.0157824889913067</v>
      </c>
    </row>
    <row r="417" spans="1:10">
      <c r="A417" s="6" t="s">
        <v>171</v>
      </c>
      <c r="B417" s="7">
        <v>44612</v>
      </c>
      <c r="C417" s="6" t="s">
        <v>160</v>
      </c>
      <c r="D417" s="6" t="s">
        <v>0</v>
      </c>
      <c r="E417" s="6" t="s">
        <v>1</v>
      </c>
      <c r="F417" s="6">
        <v>29945</v>
      </c>
      <c r="G417" s="6">
        <v>50</v>
      </c>
      <c r="H417" s="12">
        <v>1590.000033</v>
      </c>
      <c r="I417" s="6">
        <v>550</v>
      </c>
      <c r="J417" s="11">
        <f>Análises!F417</f>
        <v>102.77358275186904</v>
      </c>
    </row>
    <row r="418" spans="1:10">
      <c r="A418" s="6" t="s">
        <v>171</v>
      </c>
      <c r="B418" s="7">
        <v>44613</v>
      </c>
      <c r="C418" s="6" t="s">
        <v>160</v>
      </c>
      <c r="D418" s="6" t="s">
        <v>0</v>
      </c>
      <c r="E418" s="6" t="s">
        <v>1</v>
      </c>
      <c r="F418" s="6">
        <v>357856</v>
      </c>
      <c r="G418" s="6">
        <v>1500</v>
      </c>
      <c r="H418" s="12">
        <v>52970.00015</v>
      </c>
      <c r="I418" s="6">
        <v>900</v>
      </c>
      <c r="J418" s="11">
        <f>Análises!F418</f>
        <v>4.0972248298171845</v>
      </c>
    </row>
    <row r="419" spans="1:10">
      <c r="A419" s="6" t="s">
        <v>171</v>
      </c>
      <c r="B419" s="7">
        <v>44614</v>
      </c>
      <c r="C419" s="6" t="s">
        <v>160</v>
      </c>
      <c r="D419" s="6" t="s">
        <v>0</v>
      </c>
      <c r="E419" s="6" t="s">
        <v>1</v>
      </c>
      <c r="F419" s="6">
        <v>2080666</v>
      </c>
      <c r="G419" s="6">
        <v>10100</v>
      </c>
      <c r="H419" s="12">
        <v>360150.00149999995</v>
      </c>
      <c r="I419" s="6">
        <v>3450</v>
      </c>
      <c r="J419" s="11">
        <f>Análises!F419</f>
        <v>1.8738025702882026</v>
      </c>
    </row>
    <row r="420" spans="1:10">
      <c r="A420" s="6" t="s">
        <v>171</v>
      </c>
      <c r="B420" s="7">
        <v>44615</v>
      </c>
      <c r="C420" s="6" t="s">
        <v>160</v>
      </c>
      <c r="D420" s="6" t="s">
        <v>0</v>
      </c>
      <c r="E420" s="6" t="s">
        <v>1</v>
      </c>
      <c r="F420" s="6">
        <v>145999</v>
      </c>
      <c r="G420" s="6">
        <v>450</v>
      </c>
      <c r="H420" s="12">
        <v>16520.000100000001</v>
      </c>
      <c r="I420" s="6">
        <v>750</v>
      </c>
      <c r="J420" s="11">
        <f>Análises!F420</f>
        <v>12.619854639104995</v>
      </c>
    </row>
    <row r="421" spans="1:10">
      <c r="A421" s="6" t="s">
        <v>171</v>
      </c>
      <c r="B421" s="7">
        <v>44616</v>
      </c>
      <c r="C421" s="6" t="s">
        <v>160</v>
      </c>
      <c r="D421" s="6" t="s">
        <v>0</v>
      </c>
      <c r="E421" s="6" t="s">
        <v>1</v>
      </c>
      <c r="F421" s="6">
        <v>32616</v>
      </c>
      <c r="G421" s="6">
        <v>50</v>
      </c>
      <c r="H421" s="12">
        <v>1539.9999620000001</v>
      </c>
      <c r="I421" s="6">
        <v>500</v>
      </c>
      <c r="J421" s="11">
        <f>Análises!F421</f>
        <v>96.402599806038168</v>
      </c>
    </row>
    <row r="422" spans="1:10">
      <c r="A422" s="6" t="s">
        <v>171</v>
      </c>
      <c r="B422" s="7">
        <v>44617</v>
      </c>
      <c r="C422" s="6" t="s">
        <v>160</v>
      </c>
      <c r="D422" s="6" t="s">
        <v>0</v>
      </c>
      <c r="E422" s="6" t="s">
        <v>1</v>
      </c>
      <c r="F422" s="6">
        <v>984521</v>
      </c>
      <c r="G422" s="6">
        <v>4750</v>
      </c>
      <c r="H422" s="12">
        <v>163899.99720000001</v>
      </c>
      <c r="I422" s="6">
        <v>2400</v>
      </c>
      <c r="J422" s="11">
        <f>Análises!F422</f>
        <v>3.3929225887747605</v>
      </c>
    </row>
    <row r="423" spans="1:10">
      <c r="A423" s="6" t="s">
        <v>171</v>
      </c>
      <c r="B423" s="7">
        <v>44618</v>
      </c>
      <c r="C423" s="6" t="s">
        <v>160</v>
      </c>
      <c r="D423" s="6" t="s">
        <v>0</v>
      </c>
      <c r="E423" s="6" t="s">
        <v>1</v>
      </c>
      <c r="F423" s="6">
        <v>880814</v>
      </c>
      <c r="G423" s="6">
        <v>6150</v>
      </c>
      <c r="H423" s="12">
        <v>210360.0006</v>
      </c>
      <c r="I423" s="6">
        <v>750</v>
      </c>
      <c r="J423" s="11">
        <f>Análises!F423</f>
        <v>6.9594976983471266E-2</v>
      </c>
    </row>
    <row r="424" spans="1:10">
      <c r="A424" s="6" t="s">
        <v>171</v>
      </c>
      <c r="B424" s="7">
        <v>44619</v>
      </c>
      <c r="C424" s="6" t="s">
        <v>160</v>
      </c>
      <c r="D424" s="6" t="s">
        <v>0</v>
      </c>
      <c r="E424" s="6" t="s">
        <v>1</v>
      </c>
      <c r="F424" s="6">
        <v>182452</v>
      </c>
      <c r="G424" s="6">
        <v>1000</v>
      </c>
      <c r="H424" s="12">
        <v>35730.000260000001</v>
      </c>
      <c r="I424" s="6">
        <v>700</v>
      </c>
      <c r="J424" s="11">
        <f>Análises!F424</f>
        <v>4.8774138950985835</v>
      </c>
    </row>
    <row r="425" spans="1:10">
      <c r="A425" s="6" t="s">
        <v>171</v>
      </c>
      <c r="B425" s="7">
        <v>44620</v>
      </c>
      <c r="C425" s="6" t="s">
        <v>160</v>
      </c>
      <c r="D425" s="6" t="s">
        <v>0</v>
      </c>
      <c r="E425" s="6" t="s">
        <v>1</v>
      </c>
      <c r="F425" s="6">
        <v>894911</v>
      </c>
      <c r="G425" s="6">
        <v>6000</v>
      </c>
      <c r="H425" s="12">
        <v>215839.9994</v>
      </c>
      <c r="I425" s="6">
        <v>950</v>
      </c>
      <c r="J425" s="11">
        <f>Análises!F425</f>
        <v>0.32042253888182692</v>
      </c>
    </row>
    <row r="426" spans="1:10">
      <c r="A426" s="6" t="s">
        <v>171</v>
      </c>
      <c r="B426" s="7">
        <v>44621</v>
      </c>
      <c r="C426" s="6" t="s">
        <v>160</v>
      </c>
      <c r="D426" s="6" t="s">
        <v>0</v>
      </c>
      <c r="E426" s="6" t="s">
        <v>1</v>
      </c>
      <c r="F426" s="6">
        <v>31349</v>
      </c>
      <c r="G426" s="6">
        <v>100</v>
      </c>
      <c r="H426" s="12">
        <v>3800.0000719999998</v>
      </c>
      <c r="I426" s="6">
        <v>450</v>
      </c>
      <c r="J426" s="11">
        <f>Análises!F426</f>
        <v>34.526315116343504</v>
      </c>
    </row>
    <row r="427" spans="1:10">
      <c r="A427" s="6" t="s">
        <v>171</v>
      </c>
      <c r="B427" s="7">
        <v>44622</v>
      </c>
      <c r="C427" s="6" t="s">
        <v>160</v>
      </c>
      <c r="D427" s="6" t="s">
        <v>0</v>
      </c>
      <c r="E427" s="6" t="s">
        <v>1</v>
      </c>
      <c r="F427" s="6">
        <v>410310</v>
      </c>
      <c r="G427" s="6">
        <v>2750</v>
      </c>
      <c r="H427" s="12">
        <v>96800.000549999997</v>
      </c>
      <c r="I427" s="6">
        <v>550</v>
      </c>
      <c r="J427" s="11">
        <f>Análises!F427</f>
        <v>0.70454544486053727</v>
      </c>
    </row>
    <row r="428" spans="1:10">
      <c r="A428" s="6" t="s">
        <v>171</v>
      </c>
      <c r="B428" s="7">
        <v>44623</v>
      </c>
      <c r="C428" s="6" t="s">
        <v>160</v>
      </c>
      <c r="D428" s="6" t="s">
        <v>0</v>
      </c>
      <c r="E428" s="6" t="s">
        <v>1</v>
      </c>
      <c r="F428" s="6">
        <v>572450</v>
      </c>
      <c r="G428" s="6">
        <v>4450</v>
      </c>
      <c r="H428" s="12">
        <v>157329.99799999999</v>
      </c>
      <c r="I428" s="6">
        <v>1000</v>
      </c>
      <c r="J428" s="11">
        <f>Análises!F428</f>
        <v>0.90682008398678049</v>
      </c>
    </row>
    <row r="429" spans="1:10">
      <c r="A429" s="6" t="s">
        <v>171</v>
      </c>
      <c r="B429" s="7">
        <v>44624</v>
      </c>
      <c r="C429" s="6" t="s">
        <v>160</v>
      </c>
      <c r="D429" s="6" t="s">
        <v>0</v>
      </c>
      <c r="E429" s="6" t="s">
        <v>1</v>
      </c>
      <c r="F429" s="6">
        <v>98759</v>
      </c>
      <c r="G429" s="6">
        <v>750</v>
      </c>
      <c r="H429" s="12">
        <v>26569.999459999999</v>
      </c>
      <c r="I429" s="6">
        <v>500</v>
      </c>
      <c r="J429" s="11">
        <f>Análises!F429</f>
        <v>4.645464924672603</v>
      </c>
    </row>
    <row r="430" spans="1:10">
      <c r="A430" s="6" t="s">
        <v>171</v>
      </c>
      <c r="B430" s="7">
        <v>44625</v>
      </c>
      <c r="C430" s="6" t="s">
        <v>160</v>
      </c>
      <c r="D430" s="6" t="s">
        <v>0</v>
      </c>
      <c r="E430" s="6" t="s">
        <v>1</v>
      </c>
      <c r="F430" s="6">
        <v>345371</v>
      </c>
      <c r="G430" s="6">
        <v>2700</v>
      </c>
      <c r="H430" s="12">
        <v>93089.999909999999</v>
      </c>
      <c r="I430" s="6">
        <v>850</v>
      </c>
      <c r="J430" s="11">
        <f>Análises!F430</f>
        <v>1.7392845659741711</v>
      </c>
    </row>
    <row r="431" spans="1:10">
      <c r="A431" s="6" t="s">
        <v>171</v>
      </c>
      <c r="B431" s="7">
        <v>44626</v>
      </c>
      <c r="C431" s="6" t="s">
        <v>160</v>
      </c>
      <c r="D431" s="6" t="s">
        <v>0</v>
      </c>
      <c r="E431" s="6" t="s">
        <v>1</v>
      </c>
      <c r="F431" s="6">
        <v>323899</v>
      </c>
      <c r="G431" s="6">
        <v>2300</v>
      </c>
      <c r="H431" s="12">
        <v>78920.000200000009</v>
      </c>
      <c r="I431" s="6">
        <v>700</v>
      </c>
      <c r="J431" s="11">
        <f>Análises!F431</f>
        <v>1.6609224463737391</v>
      </c>
    </row>
    <row r="432" spans="1:10">
      <c r="A432" s="6" t="s">
        <v>171</v>
      </c>
      <c r="B432" s="7">
        <v>44627</v>
      </c>
      <c r="C432" s="6" t="s">
        <v>160</v>
      </c>
      <c r="D432" s="6" t="s">
        <v>0</v>
      </c>
      <c r="E432" s="6" t="s">
        <v>1</v>
      </c>
      <c r="F432" s="6">
        <v>399199</v>
      </c>
      <c r="G432" s="6">
        <v>2900</v>
      </c>
      <c r="H432" s="12">
        <v>103150.00019999999</v>
      </c>
      <c r="I432" s="6">
        <v>550</v>
      </c>
      <c r="J432" s="11">
        <f>Análises!F432</f>
        <v>0.59961221211902638</v>
      </c>
    </row>
    <row r="433" spans="1:10">
      <c r="A433" s="6" t="s">
        <v>171</v>
      </c>
      <c r="B433" s="7">
        <v>44628</v>
      </c>
      <c r="C433" s="6" t="s">
        <v>160</v>
      </c>
      <c r="D433" s="6" t="s">
        <v>0</v>
      </c>
      <c r="E433" s="6" t="s">
        <v>1</v>
      </c>
      <c r="F433" s="6">
        <v>171202</v>
      </c>
      <c r="G433" s="6">
        <v>1100</v>
      </c>
      <c r="H433" s="12">
        <v>36530.000209999998</v>
      </c>
      <c r="I433" s="6">
        <v>600</v>
      </c>
      <c r="J433" s="11">
        <f>Análises!F433</f>
        <v>3.9274568564257888</v>
      </c>
    </row>
    <row r="434" spans="1:10">
      <c r="A434" s="6" t="s">
        <v>171</v>
      </c>
      <c r="B434" s="7">
        <v>44629</v>
      </c>
      <c r="C434" s="6" t="s">
        <v>160</v>
      </c>
      <c r="D434" s="6" t="s">
        <v>0</v>
      </c>
      <c r="E434" s="6" t="s">
        <v>1</v>
      </c>
      <c r="F434" s="6">
        <v>128386</v>
      </c>
      <c r="G434" s="6">
        <v>750</v>
      </c>
      <c r="H434" s="12">
        <v>28850.000019999999</v>
      </c>
      <c r="I434" s="6">
        <v>550</v>
      </c>
      <c r="J434" s="11">
        <f>Análises!F434</f>
        <v>4.7192374310438563</v>
      </c>
    </row>
    <row r="435" spans="1:10">
      <c r="A435" s="6" t="s">
        <v>171</v>
      </c>
      <c r="B435" s="7">
        <v>44630</v>
      </c>
      <c r="C435" s="6" t="s">
        <v>160</v>
      </c>
      <c r="D435" s="6" t="s">
        <v>0</v>
      </c>
      <c r="E435" s="6" t="s">
        <v>1</v>
      </c>
      <c r="F435" s="6">
        <v>1034284</v>
      </c>
      <c r="G435" s="6">
        <v>7600</v>
      </c>
      <c r="H435" s="12">
        <v>257709.99859999999</v>
      </c>
      <c r="I435" s="6">
        <v>1850</v>
      </c>
      <c r="J435" s="11">
        <f>Análises!F435</f>
        <v>1.153583497012211</v>
      </c>
    </row>
    <row r="436" spans="1:10">
      <c r="A436" s="6" t="s">
        <v>171</v>
      </c>
      <c r="B436" s="7">
        <v>44631</v>
      </c>
      <c r="C436" s="6" t="s">
        <v>160</v>
      </c>
      <c r="D436" s="6" t="s">
        <v>0</v>
      </c>
      <c r="E436" s="6" t="s">
        <v>1</v>
      </c>
      <c r="F436" s="6">
        <v>45923</v>
      </c>
      <c r="G436" s="6">
        <v>250</v>
      </c>
      <c r="H436" s="12">
        <v>7220.0001479999992</v>
      </c>
      <c r="I436" s="6">
        <v>500</v>
      </c>
      <c r="J436" s="11">
        <f>Análises!F436</f>
        <v>19.775622842826571</v>
      </c>
    </row>
    <row r="437" spans="1:10">
      <c r="A437" s="6" t="s">
        <v>171</v>
      </c>
      <c r="B437" s="7">
        <v>44632</v>
      </c>
      <c r="C437" s="6" t="s">
        <v>160</v>
      </c>
      <c r="D437" s="6" t="s">
        <v>0</v>
      </c>
      <c r="E437" s="6" t="s">
        <v>1</v>
      </c>
      <c r="F437" s="6">
        <v>40873</v>
      </c>
      <c r="G437" s="6">
        <v>200</v>
      </c>
      <c r="H437" s="12">
        <v>7899.9999760000001</v>
      </c>
      <c r="I437" s="6">
        <v>500</v>
      </c>
      <c r="J437" s="11">
        <f>Análises!F437</f>
        <v>17.987341829834964</v>
      </c>
    </row>
    <row r="438" spans="1:10">
      <c r="A438" s="6" t="s">
        <v>171</v>
      </c>
      <c r="B438" s="7">
        <v>44633</v>
      </c>
      <c r="C438" s="6" t="s">
        <v>160</v>
      </c>
      <c r="D438" s="6" t="s">
        <v>0</v>
      </c>
      <c r="E438" s="6" t="s">
        <v>1</v>
      </c>
      <c r="F438" s="6">
        <v>286553</v>
      </c>
      <c r="G438" s="6">
        <v>1700</v>
      </c>
      <c r="H438" s="12">
        <v>62060.000420000004</v>
      </c>
      <c r="I438" s="6">
        <v>600</v>
      </c>
      <c r="J438" s="11">
        <f>Análises!F438</f>
        <v>1.9004189297747993</v>
      </c>
    </row>
    <row r="439" spans="1:10">
      <c r="A439" s="6" t="s">
        <v>171</v>
      </c>
      <c r="B439" s="7">
        <v>44634</v>
      </c>
      <c r="C439" s="6" t="s">
        <v>160</v>
      </c>
      <c r="D439" s="6" t="s">
        <v>0</v>
      </c>
      <c r="E439" s="6" t="s">
        <v>1</v>
      </c>
      <c r="F439" s="6">
        <v>20618</v>
      </c>
      <c r="G439" s="6">
        <v>50</v>
      </c>
      <c r="H439" s="12">
        <v>2099.9999049999997</v>
      </c>
      <c r="I439" s="6">
        <v>550</v>
      </c>
      <c r="J439" s="11">
        <f>Análises!F439</f>
        <v>77.571432125850507</v>
      </c>
    </row>
    <row r="440" spans="1:10">
      <c r="A440" s="6" t="s">
        <v>171</v>
      </c>
      <c r="B440" s="7">
        <v>44635</v>
      </c>
      <c r="C440" s="6" t="s">
        <v>160</v>
      </c>
      <c r="D440" s="6" t="s">
        <v>0</v>
      </c>
      <c r="E440" s="6" t="s">
        <v>1</v>
      </c>
      <c r="F440" s="6">
        <v>83591</v>
      </c>
      <c r="G440" s="6">
        <v>350</v>
      </c>
      <c r="H440" s="12">
        <v>14140.000459999999</v>
      </c>
      <c r="I440" s="6">
        <v>600</v>
      </c>
      <c r="J440" s="11">
        <f>Análises!F440</f>
        <v>11.729843998887677</v>
      </c>
    </row>
    <row r="441" spans="1:10">
      <c r="A441" s="6" t="s">
        <v>171</v>
      </c>
      <c r="B441" s="7">
        <v>44636</v>
      </c>
      <c r="C441" s="6" t="s">
        <v>160</v>
      </c>
      <c r="D441" s="6" t="s">
        <v>0</v>
      </c>
      <c r="E441" s="6" t="s">
        <v>1</v>
      </c>
      <c r="F441" s="6">
        <v>114923</v>
      </c>
      <c r="G441" s="6">
        <v>600</v>
      </c>
      <c r="H441" s="12">
        <v>23730.000260000001</v>
      </c>
      <c r="I441" s="6">
        <v>700</v>
      </c>
      <c r="J441" s="11">
        <f>Análises!F441</f>
        <v>7.8495574251628764</v>
      </c>
    </row>
    <row r="442" spans="1:10">
      <c r="A442" s="6" t="s">
        <v>171</v>
      </c>
      <c r="B442" s="7">
        <v>44637</v>
      </c>
      <c r="C442" s="6" t="s">
        <v>160</v>
      </c>
      <c r="D442" s="6" t="s">
        <v>0</v>
      </c>
      <c r="E442" s="6" t="s">
        <v>1</v>
      </c>
      <c r="F442" s="6">
        <v>25002</v>
      </c>
      <c r="G442" s="6">
        <v>50</v>
      </c>
      <c r="H442" s="12">
        <v>1710.0000379999999</v>
      </c>
      <c r="I442" s="6">
        <v>450</v>
      </c>
      <c r="J442" s="11">
        <f>Análises!F442</f>
        <v>77.94736666666671</v>
      </c>
    </row>
    <row r="443" spans="1:10">
      <c r="A443" s="6" t="s">
        <v>171</v>
      </c>
      <c r="B443" s="7">
        <v>44638</v>
      </c>
      <c r="C443" s="6" t="s">
        <v>160</v>
      </c>
      <c r="D443" s="6" t="s">
        <v>0</v>
      </c>
      <c r="E443" s="6" t="s">
        <v>1</v>
      </c>
      <c r="F443" s="6">
        <v>68905</v>
      </c>
      <c r="G443" s="6">
        <v>250</v>
      </c>
      <c r="H443" s="12">
        <v>9440.0000570000011</v>
      </c>
      <c r="I443" s="6">
        <v>400</v>
      </c>
      <c r="J443" s="11">
        <f>Análises!F443</f>
        <v>11.711864330023699</v>
      </c>
    </row>
    <row r="444" spans="1:10">
      <c r="A444" s="6" t="s">
        <v>171</v>
      </c>
      <c r="B444" s="7">
        <v>44639</v>
      </c>
      <c r="C444" s="6" t="s">
        <v>160</v>
      </c>
      <c r="D444" s="6" t="s">
        <v>0</v>
      </c>
      <c r="E444" s="6" t="s">
        <v>1</v>
      </c>
      <c r="F444" s="6">
        <v>169588</v>
      </c>
      <c r="G444" s="6">
        <v>800</v>
      </c>
      <c r="H444" s="12">
        <v>27799.999239999997</v>
      </c>
      <c r="I444" s="6">
        <v>450</v>
      </c>
      <c r="J444" s="11">
        <f>Análises!F444</f>
        <v>3.8561152406707766</v>
      </c>
    </row>
    <row r="445" spans="1:10">
      <c r="A445" s="6" t="s">
        <v>171</v>
      </c>
      <c r="B445" s="7">
        <v>44640</v>
      </c>
      <c r="C445" s="6" t="s">
        <v>160</v>
      </c>
      <c r="D445" s="6" t="s">
        <v>0</v>
      </c>
      <c r="E445" s="6" t="s">
        <v>1</v>
      </c>
      <c r="F445" s="6">
        <v>328991</v>
      </c>
      <c r="G445" s="6">
        <v>1750</v>
      </c>
      <c r="H445" s="12">
        <v>67650.000570000004</v>
      </c>
      <c r="I445" s="6">
        <v>750</v>
      </c>
      <c r="J445" s="11">
        <f>Análises!F445</f>
        <v>2.3259423223091331</v>
      </c>
    </row>
    <row r="446" spans="1:10">
      <c r="A446" s="6" t="s">
        <v>171</v>
      </c>
      <c r="B446" s="7">
        <v>44641</v>
      </c>
      <c r="C446" s="6" t="s">
        <v>160</v>
      </c>
      <c r="D446" s="6" t="s">
        <v>0</v>
      </c>
      <c r="E446" s="6" t="s">
        <v>1</v>
      </c>
      <c r="F446" s="6">
        <v>23198</v>
      </c>
      <c r="G446" s="6">
        <v>100</v>
      </c>
      <c r="H446" s="12">
        <v>2980.0000190000001</v>
      </c>
      <c r="I446" s="6">
        <v>450</v>
      </c>
      <c r="J446" s="11">
        <f>Análises!F446</f>
        <v>44.302013133980452</v>
      </c>
    </row>
    <row r="447" spans="1:10">
      <c r="A447" s="6" t="s">
        <v>171</v>
      </c>
      <c r="B447" s="7">
        <v>44642</v>
      </c>
      <c r="C447" s="6" t="s">
        <v>160</v>
      </c>
      <c r="D447" s="6" t="s">
        <v>0</v>
      </c>
      <c r="E447" s="6" t="s">
        <v>1</v>
      </c>
      <c r="F447" s="6">
        <v>26890</v>
      </c>
      <c r="G447" s="6">
        <v>100</v>
      </c>
      <c r="H447" s="12">
        <v>3240.0000100000002</v>
      </c>
      <c r="I447" s="6">
        <v>500</v>
      </c>
      <c r="J447" s="11">
        <f>Análises!F447</f>
        <v>45.296296153406495</v>
      </c>
    </row>
    <row r="448" spans="1:10">
      <c r="A448" s="6" t="s">
        <v>171</v>
      </c>
      <c r="B448" s="7">
        <v>44643</v>
      </c>
      <c r="C448" s="6" t="s">
        <v>160</v>
      </c>
      <c r="D448" s="6" t="s">
        <v>0</v>
      </c>
      <c r="E448" s="6" t="s">
        <v>1</v>
      </c>
      <c r="F448" s="6">
        <v>221695</v>
      </c>
      <c r="G448" s="6">
        <v>1550</v>
      </c>
      <c r="H448" s="12">
        <v>52260.000110000001</v>
      </c>
      <c r="I448" s="6">
        <v>750</v>
      </c>
      <c r="J448" s="11">
        <f>Análises!F448</f>
        <v>3.3053960873786155</v>
      </c>
    </row>
    <row r="449" spans="1:10">
      <c r="A449" s="6" t="s">
        <v>171</v>
      </c>
      <c r="B449" s="7">
        <v>44644</v>
      </c>
      <c r="C449" s="6" t="s">
        <v>160</v>
      </c>
      <c r="D449" s="6" t="s">
        <v>0</v>
      </c>
      <c r="E449" s="6" t="s">
        <v>1</v>
      </c>
      <c r="F449" s="6">
        <v>88443</v>
      </c>
      <c r="G449" s="6">
        <v>350</v>
      </c>
      <c r="H449" s="12">
        <v>13040.0002</v>
      </c>
      <c r="I449" s="6">
        <v>450</v>
      </c>
      <c r="J449" s="11">
        <f>Análises!F449</f>
        <v>9.3527605774116473</v>
      </c>
    </row>
    <row r="450" spans="1:10">
      <c r="A450" s="6" t="s">
        <v>171</v>
      </c>
      <c r="B450" s="7">
        <v>44645</v>
      </c>
      <c r="C450" s="6" t="s">
        <v>160</v>
      </c>
      <c r="D450" s="6" t="s">
        <v>0</v>
      </c>
      <c r="E450" s="6" t="s">
        <v>1</v>
      </c>
      <c r="F450" s="6">
        <v>187856</v>
      </c>
      <c r="G450" s="6">
        <v>1150</v>
      </c>
      <c r="H450" s="12">
        <v>38389.999750000003</v>
      </c>
      <c r="I450" s="6">
        <v>700</v>
      </c>
      <c r="J450" s="11">
        <f>Análises!F450</f>
        <v>4.4701745602381768</v>
      </c>
    </row>
    <row r="451" spans="1:10">
      <c r="A451" s="6" t="s">
        <v>171</v>
      </c>
      <c r="B451" s="7">
        <v>44646</v>
      </c>
      <c r="C451" s="6" t="s">
        <v>160</v>
      </c>
      <c r="D451" s="6" t="s">
        <v>0</v>
      </c>
      <c r="E451" s="6" t="s">
        <v>1</v>
      </c>
      <c r="F451" s="6">
        <v>570699</v>
      </c>
      <c r="G451" s="6">
        <v>4000</v>
      </c>
      <c r="H451" s="12">
        <v>138769.99969999999</v>
      </c>
      <c r="I451" s="6">
        <v>950</v>
      </c>
      <c r="J451" s="11">
        <f>Análises!F451</f>
        <v>1.0537580213023523</v>
      </c>
    </row>
    <row r="452" spans="1:10">
      <c r="A452" s="6" t="s">
        <v>171</v>
      </c>
      <c r="B452" s="7">
        <v>44647</v>
      </c>
      <c r="C452" s="6" t="s">
        <v>160</v>
      </c>
      <c r="D452" s="6" t="s">
        <v>0</v>
      </c>
      <c r="E452" s="6" t="s">
        <v>1</v>
      </c>
      <c r="F452" s="6">
        <v>1063508</v>
      </c>
      <c r="G452" s="6">
        <v>7250</v>
      </c>
      <c r="H452" s="12">
        <v>260380.0013</v>
      </c>
      <c r="I452" s="6">
        <v>1850</v>
      </c>
      <c r="J452" s="11">
        <f>Análises!F452</f>
        <v>1.1315001045742754</v>
      </c>
    </row>
    <row r="453" spans="1:10">
      <c r="A453" s="6" t="s">
        <v>171</v>
      </c>
      <c r="B453" s="7">
        <v>44648</v>
      </c>
      <c r="C453" s="6" t="s">
        <v>160</v>
      </c>
      <c r="D453" s="6" t="s">
        <v>0</v>
      </c>
      <c r="E453" s="6" t="s">
        <v>1</v>
      </c>
      <c r="F453" s="6">
        <v>50523</v>
      </c>
      <c r="G453" s="6">
        <v>300</v>
      </c>
      <c r="H453" s="12">
        <v>8549.9999520000001</v>
      </c>
      <c r="I453" s="6">
        <v>450</v>
      </c>
      <c r="J453" s="11">
        <f>Análises!F453</f>
        <v>14.789473772853187</v>
      </c>
    </row>
    <row r="454" spans="1:10">
      <c r="A454" s="6" t="s">
        <v>171</v>
      </c>
      <c r="B454" s="7">
        <v>44649</v>
      </c>
      <c r="C454" s="6" t="s">
        <v>160</v>
      </c>
      <c r="D454" s="6" t="s">
        <v>0</v>
      </c>
      <c r="E454" s="6" t="s">
        <v>1</v>
      </c>
      <c r="F454" s="6">
        <v>87935</v>
      </c>
      <c r="G454" s="6">
        <v>450</v>
      </c>
      <c r="H454" s="12">
        <v>15630.00023</v>
      </c>
      <c r="I454" s="6">
        <v>450</v>
      </c>
      <c r="J454" s="11">
        <f>Análises!F454</f>
        <v>7.6372359573535338</v>
      </c>
    </row>
    <row r="455" spans="1:10">
      <c r="A455" s="6" t="s">
        <v>171</v>
      </c>
      <c r="B455" s="7">
        <v>44650</v>
      </c>
      <c r="C455" s="6" t="s">
        <v>160</v>
      </c>
      <c r="D455" s="6" t="s">
        <v>0</v>
      </c>
      <c r="E455" s="6" t="s">
        <v>1</v>
      </c>
      <c r="F455" s="6">
        <v>278225</v>
      </c>
      <c r="G455" s="6">
        <v>1650</v>
      </c>
      <c r="H455" s="12">
        <v>60199.99957</v>
      </c>
      <c r="I455" s="6">
        <v>550</v>
      </c>
      <c r="J455" s="11">
        <f>Análises!F455</f>
        <v>1.740863806953014</v>
      </c>
    </row>
    <row r="456" spans="1:10">
      <c r="A456" s="6" t="s">
        <v>171</v>
      </c>
      <c r="B456" s="7">
        <v>44651</v>
      </c>
      <c r="C456" s="6" t="s">
        <v>160</v>
      </c>
      <c r="D456" s="6" t="s">
        <v>0</v>
      </c>
      <c r="E456" s="6" t="s">
        <v>1</v>
      </c>
      <c r="F456" s="6">
        <v>209461</v>
      </c>
      <c r="G456" s="6">
        <v>1000</v>
      </c>
      <c r="H456" s="12">
        <v>34190.000060000006</v>
      </c>
      <c r="I456" s="6">
        <v>450</v>
      </c>
      <c r="J456" s="11">
        <f>Análises!F456</f>
        <v>2.9485229530005439</v>
      </c>
    </row>
    <row r="457" spans="1:10">
      <c r="A457" s="6" t="s">
        <v>171</v>
      </c>
      <c r="B457" s="7">
        <v>44652</v>
      </c>
      <c r="C457" s="6" t="s">
        <v>160</v>
      </c>
      <c r="D457" s="6" t="s">
        <v>0</v>
      </c>
      <c r="E457" s="6" t="s">
        <v>1</v>
      </c>
      <c r="F457" s="6">
        <v>26316</v>
      </c>
      <c r="G457" s="6">
        <v>100</v>
      </c>
      <c r="H457" s="12">
        <v>3240.0000100000002</v>
      </c>
      <c r="I457" s="6">
        <v>600</v>
      </c>
      <c r="J457" s="11">
        <f>Análises!F457</f>
        <v>54.555555384087789</v>
      </c>
    </row>
    <row r="458" spans="1:10">
      <c r="A458" s="6" t="s">
        <v>171</v>
      </c>
      <c r="B458" s="7">
        <v>44653</v>
      </c>
      <c r="C458" s="6" t="s">
        <v>160</v>
      </c>
      <c r="D458" s="6" t="s">
        <v>0</v>
      </c>
      <c r="E458" s="6" t="s">
        <v>1</v>
      </c>
      <c r="F458" s="6">
        <v>41030</v>
      </c>
      <c r="G458" s="6">
        <v>150</v>
      </c>
      <c r="H458" s="12">
        <v>5140.0001050000001</v>
      </c>
      <c r="I458" s="6">
        <v>550</v>
      </c>
      <c r="J458" s="11">
        <f>Análises!F458</f>
        <v>31.101166659411962</v>
      </c>
    </row>
    <row r="459" spans="1:10">
      <c r="A459" s="6" t="s">
        <v>171</v>
      </c>
      <c r="B459" s="7">
        <v>44654</v>
      </c>
      <c r="C459" s="6" t="s">
        <v>160</v>
      </c>
      <c r="D459" s="6" t="s">
        <v>0</v>
      </c>
      <c r="E459" s="6" t="s">
        <v>1</v>
      </c>
      <c r="F459" s="6">
        <v>876671</v>
      </c>
      <c r="G459" s="6">
        <v>6000</v>
      </c>
      <c r="H459" s="12">
        <v>216559.9982</v>
      </c>
      <c r="I459" s="6">
        <v>1700</v>
      </c>
      <c r="J459" s="11">
        <f>Análises!F459</f>
        <v>1.3550055607638067</v>
      </c>
    </row>
    <row r="460" spans="1:10">
      <c r="A460" s="6" t="s">
        <v>171</v>
      </c>
      <c r="B460" s="7">
        <v>44655</v>
      </c>
      <c r="C460" s="6" t="s">
        <v>160</v>
      </c>
      <c r="D460" s="6" t="s">
        <v>0</v>
      </c>
      <c r="E460" s="6" t="s">
        <v>1</v>
      </c>
      <c r="F460" s="6">
        <v>399392</v>
      </c>
      <c r="G460" s="6">
        <v>2650</v>
      </c>
      <c r="H460" s="12">
        <v>93070.000410000008</v>
      </c>
      <c r="I460" s="6">
        <v>650</v>
      </c>
      <c r="J460" s="11">
        <f>Análises!F460</f>
        <v>1.0951971541954351</v>
      </c>
    </row>
    <row r="461" spans="1:10">
      <c r="A461" s="6" t="s">
        <v>171</v>
      </c>
      <c r="B461" s="7">
        <v>44656</v>
      </c>
      <c r="C461" s="6" t="s">
        <v>160</v>
      </c>
      <c r="D461" s="6" t="s">
        <v>0</v>
      </c>
      <c r="E461" s="6" t="s">
        <v>1</v>
      </c>
      <c r="F461" s="6">
        <v>283858</v>
      </c>
      <c r="G461" s="6">
        <v>1500</v>
      </c>
      <c r="H461" s="12">
        <v>56059.999230000001</v>
      </c>
      <c r="I461" s="6">
        <v>450</v>
      </c>
      <c r="J461" s="11">
        <f>Análises!F461</f>
        <v>1.4081341750671301</v>
      </c>
    </row>
    <row r="462" spans="1:10">
      <c r="A462" s="6" t="s">
        <v>171</v>
      </c>
      <c r="B462" s="7">
        <v>44657</v>
      </c>
      <c r="C462" s="6" t="s">
        <v>160</v>
      </c>
      <c r="D462" s="6" t="s">
        <v>0</v>
      </c>
      <c r="E462" s="6" t="s">
        <v>1</v>
      </c>
      <c r="F462" s="6">
        <v>260699</v>
      </c>
      <c r="G462" s="6">
        <v>1550</v>
      </c>
      <c r="H462" s="12">
        <v>54099.99871</v>
      </c>
      <c r="I462" s="6">
        <v>800</v>
      </c>
      <c r="J462" s="11">
        <f>Análises!F462</f>
        <v>3.4362293109562994</v>
      </c>
    </row>
    <row r="463" spans="1:10">
      <c r="A463" s="6" t="s">
        <v>171</v>
      </c>
      <c r="B463" s="7">
        <v>44658</v>
      </c>
      <c r="C463" s="6" t="s">
        <v>160</v>
      </c>
      <c r="D463" s="6" t="s">
        <v>0</v>
      </c>
      <c r="E463" s="6" t="s">
        <v>1</v>
      </c>
      <c r="F463" s="6">
        <v>57781</v>
      </c>
      <c r="G463" s="6">
        <v>250</v>
      </c>
      <c r="H463" s="12">
        <v>7800.0000719999998</v>
      </c>
      <c r="I463" s="6">
        <v>500</v>
      </c>
      <c r="J463" s="11">
        <f>Análises!F463</f>
        <v>18.230769053254441</v>
      </c>
    </row>
    <row r="464" spans="1:10">
      <c r="A464" s="6" t="s">
        <v>171</v>
      </c>
      <c r="B464" s="7">
        <v>44659</v>
      </c>
      <c r="C464" s="6" t="s">
        <v>160</v>
      </c>
      <c r="D464" s="6" t="s">
        <v>0</v>
      </c>
      <c r="E464" s="6" t="s">
        <v>1</v>
      </c>
      <c r="F464" s="6">
        <v>38757</v>
      </c>
      <c r="G464" s="6">
        <v>150</v>
      </c>
      <c r="H464" s="12">
        <v>5220.0000290000007</v>
      </c>
      <c r="I464" s="6">
        <v>450</v>
      </c>
      <c r="J464" s="11">
        <f>Análises!F464</f>
        <v>24.862068821839078</v>
      </c>
    </row>
    <row r="465" spans="1:10">
      <c r="A465" s="6" t="s">
        <v>171</v>
      </c>
      <c r="B465" s="7">
        <v>44660</v>
      </c>
      <c r="C465" s="6" t="s">
        <v>160</v>
      </c>
      <c r="D465" s="6" t="s">
        <v>0</v>
      </c>
      <c r="E465" s="6" t="s">
        <v>1</v>
      </c>
      <c r="F465" s="6">
        <v>1392288</v>
      </c>
      <c r="G465" s="6">
        <v>10300</v>
      </c>
      <c r="H465" s="12">
        <v>358550.00289999996</v>
      </c>
      <c r="I465" s="6">
        <v>2300</v>
      </c>
      <c r="J465" s="11">
        <f>Análises!F465</f>
        <v>0.92441777832711902</v>
      </c>
    </row>
    <row r="466" spans="1:10">
      <c r="A466" s="6" t="s">
        <v>171</v>
      </c>
      <c r="B466" s="7">
        <v>44661</v>
      </c>
      <c r="C466" s="6" t="s">
        <v>160</v>
      </c>
      <c r="D466" s="6" t="s">
        <v>0</v>
      </c>
      <c r="E466" s="6" t="s">
        <v>1</v>
      </c>
      <c r="F466" s="6">
        <v>1109387</v>
      </c>
      <c r="G466" s="6">
        <v>7950</v>
      </c>
      <c r="H466" s="12">
        <v>280989.99950000003</v>
      </c>
      <c r="I466" s="6">
        <v>1150</v>
      </c>
      <c r="J466" s="11">
        <f>Análises!F466</f>
        <v>0.22780170331293217</v>
      </c>
    </row>
    <row r="467" spans="1:10">
      <c r="A467" s="6" t="s">
        <v>171</v>
      </c>
      <c r="B467" s="7">
        <v>44662</v>
      </c>
      <c r="C467" s="6" t="s">
        <v>160</v>
      </c>
      <c r="D467" s="6" t="s">
        <v>0</v>
      </c>
      <c r="E467" s="6" t="s">
        <v>1</v>
      </c>
      <c r="F467" s="6">
        <v>581281</v>
      </c>
      <c r="G467" s="6">
        <v>3250</v>
      </c>
      <c r="H467" s="12">
        <v>115120.00079999999</v>
      </c>
      <c r="I467" s="6">
        <v>1150</v>
      </c>
      <c r="J467" s="11">
        <f>Análises!F467</f>
        <v>1.996872807526944</v>
      </c>
    </row>
    <row r="468" spans="1:10">
      <c r="A468" s="6" t="s">
        <v>171</v>
      </c>
      <c r="B468" s="7">
        <v>44663</v>
      </c>
      <c r="C468" s="6" t="s">
        <v>160</v>
      </c>
      <c r="D468" s="6" t="s">
        <v>0</v>
      </c>
      <c r="E468" s="6" t="s">
        <v>1</v>
      </c>
      <c r="F468" s="6">
        <v>1048861</v>
      </c>
      <c r="G468" s="6">
        <v>6400</v>
      </c>
      <c r="H468" s="12">
        <v>219770.00200000001</v>
      </c>
      <c r="I468" s="6">
        <v>1900</v>
      </c>
      <c r="J468" s="11">
        <f>Análises!F468</f>
        <v>1.5936205797550114</v>
      </c>
    </row>
    <row r="469" spans="1:10">
      <c r="A469" s="6" t="s">
        <v>171</v>
      </c>
      <c r="B469" s="7">
        <v>44664</v>
      </c>
      <c r="C469" s="6" t="s">
        <v>160</v>
      </c>
      <c r="D469" s="6" t="s">
        <v>0</v>
      </c>
      <c r="E469" s="6" t="s">
        <v>1</v>
      </c>
      <c r="F469" s="6">
        <v>297452</v>
      </c>
      <c r="G469" s="6">
        <v>1500</v>
      </c>
      <c r="H469" s="12">
        <v>52019.999859999996</v>
      </c>
      <c r="I469" s="6">
        <v>650</v>
      </c>
      <c r="J469" s="11">
        <f>Análises!F469</f>
        <v>2.7485582569165357</v>
      </c>
    </row>
    <row r="470" spans="1:10">
      <c r="A470" s="6" t="s">
        <v>171</v>
      </c>
      <c r="B470" s="7">
        <v>44665</v>
      </c>
      <c r="C470" s="6" t="s">
        <v>160</v>
      </c>
      <c r="D470" s="6" t="s">
        <v>0</v>
      </c>
      <c r="E470" s="6" t="s">
        <v>1</v>
      </c>
      <c r="F470" s="6">
        <v>227925</v>
      </c>
      <c r="G470" s="6">
        <v>1100</v>
      </c>
      <c r="H470" s="12">
        <v>35309.999939999994</v>
      </c>
      <c r="I470" s="6">
        <v>2100</v>
      </c>
      <c r="J470" s="11">
        <f>Análises!F470</f>
        <v>16.841971143316862</v>
      </c>
    </row>
    <row r="471" spans="1:10">
      <c r="A471" s="6" t="s">
        <v>171</v>
      </c>
      <c r="B471" s="7">
        <v>44666</v>
      </c>
      <c r="C471" s="6" t="s">
        <v>160</v>
      </c>
      <c r="D471" s="6" t="s">
        <v>0</v>
      </c>
      <c r="E471" s="6" t="s">
        <v>1</v>
      </c>
      <c r="F471" s="6">
        <v>374175</v>
      </c>
      <c r="G471" s="6">
        <v>1900</v>
      </c>
      <c r="H471" s="12">
        <v>63320.00101</v>
      </c>
      <c r="I471" s="6">
        <v>1000</v>
      </c>
      <c r="J471" s="11">
        <f>Análises!F471</f>
        <v>3.7378394695954222</v>
      </c>
    </row>
    <row r="472" spans="1:10">
      <c r="A472" s="6" t="s">
        <v>171</v>
      </c>
      <c r="B472" s="7">
        <v>44667</v>
      </c>
      <c r="C472" s="6" t="s">
        <v>160</v>
      </c>
      <c r="D472" s="6" t="s">
        <v>0</v>
      </c>
      <c r="E472" s="6" t="s">
        <v>1</v>
      </c>
      <c r="F472" s="6">
        <v>223586</v>
      </c>
      <c r="G472" s="6">
        <v>1600</v>
      </c>
      <c r="H472" s="12">
        <v>54240.000369999994</v>
      </c>
      <c r="I472" s="6">
        <v>400</v>
      </c>
      <c r="J472" s="11">
        <f>Análises!F472</f>
        <v>1.2123893654390845</v>
      </c>
    </row>
    <row r="473" spans="1:10">
      <c r="A473" s="6" t="s">
        <v>171</v>
      </c>
      <c r="B473" s="7">
        <v>44668</v>
      </c>
      <c r="C473" s="6" t="s">
        <v>160</v>
      </c>
      <c r="D473" s="6" t="s">
        <v>0</v>
      </c>
      <c r="E473" s="6" t="s">
        <v>1</v>
      </c>
      <c r="F473" s="6">
        <v>283170</v>
      </c>
      <c r="G473" s="6">
        <v>1950</v>
      </c>
      <c r="H473" s="12">
        <v>65229.999960000001</v>
      </c>
      <c r="I473" s="6">
        <v>550</v>
      </c>
      <c r="J473" s="11">
        <f>Análises!F473</f>
        <v>1.5295109627652987</v>
      </c>
    </row>
    <row r="474" spans="1:10">
      <c r="A474" s="6" t="s">
        <v>171</v>
      </c>
      <c r="B474" s="7">
        <v>44669</v>
      </c>
      <c r="C474" s="6" t="s">
        <v>160</v>
      </c>
      <c r="D474" s="6" t="s">
        <v>0</v>
      </c>
      <c r="E474" s="6" t="s">
        <v>1</v>
      </c>
      <c r="F474" s="6">
        <v>41636</v>
      </c>
      <c r="G474" s="6">
        <v>150</v>
      </c>
      <c r="H474" s="12">
        <v>4210.0000380000001</v>
      </c>
      <c r="I474" s="6">
        <v>400</v>
      </c>
      <c r="J474" s="11">
        <f>Análises!F474</f>
        <v>27.503562688091357</v>
      </c>
    </row>
    <row r="475" spans="1:10">
      <c r="A475" s="6" t="s">
        <v>171</v>
      </c>
      <c r="B475" s="7">
        <v>44670</v>
      </c>
      <c r="C475" s="6" t="s">
        <v>160</v>
      </c>
      <c r="D475" s="6" t="s">
        <v>0</v>
      </c>
      <c r="E475" s="6" t="s">
        <v>1</v>
      </c>
      <c r="F475" s="6">
        <v>198658</v>
      </c>
      <c r="G475" s="6">
        <v>1500</v>
      </c>
      <c r="H475" s="12">
        <v>48609.999780000006</v>
      </c>
      <c r="I475" s="6">
        <v>850</v>
      </c>
      <c r="J475" s="11">
        <f>Análises!F475</f>
        <v>4.2458342142374716</v>
      </c>
    </row>
    <row r="476" spans="1:10">
      <c r="A476" s="6" t="s">
        <v>171</v>
      </c>
      <c r="B476" s="7">
        <v>44671</v>
      </c>
      <c r="C476" s="6" t="s">
        <v>160</v>
      </c>
      <c r="D476" s="6" t="s">
        <v>0</v>
      </c>
      <c r="E476" s="6" t="s">
        <v>1</v>
      </c>
      <c r="F476" s="6">
        <v>100596</v>
      </c>
      <c r="G476" s="6">
        <v>500</v>
      </c>
      <c r="H476" s="12">
        <v>13919.99972</v>
      </c>
      <c r="I476" s="6">
        <v>700</v>
      </c>
      <c r="J476" s="11">
        <f>Análises!F476</f>
        <v>14.086207200009916</v>
      </c>
    </row>
    <row r="477" spans="1:10">
      <c r="A477" s="6" t="s">
        <v>171</v>
      </c>
      <c r="B477" s="7">
        <v>44672</v>
      </c>
      <c r="C477" s="6" t="s">
        <v>160</v>
      </c>
      <c r="D477" s="6" t="s">
        <v>0</v>
      </c>
      <c r="E477" s="6" t="s">
        <v>1</v>
      </c>
      <c r="F477" s="6">
        <v>64020</v>
      </c>
      <c r="G477" s="6">
        <v>250</v>
      </c>
      <c r="H477" s="12">
        <v>11059.9997</v>
      </c>
      <c r="I477" s="6">
        <v>450</v>
      </c>
      <c r="J477" s="11">
        <f>Análises!F477</f>
        <v>11.20614861318667</v>
      </c>
    </row>
    <row r="478" spans="1:10">
      <c r="A478" s="6" t="s">
        <v>171</v>
      </c>
      <c r="B478" s="7">
        <v>44673</v>
      </c>
      <c r="C478" s="6" t="s">
        <v>160</v>
      </c>
      <c r="D478" s="6" t="s">
        <v>0</v>
      </c>
      <c r="E478" s="6" t="s">
        <v>1</v>
      </c>
      <c r="F478" s="6">
        <v>404866</v>
      </c>
      <c r="G478" s="6">
        <v>2150</v>
      </c>
      <c r="H478" s="12">
        <v>87420.000790000006</v>
      </c>
      <c r="I478" s="6">
        <v>600</v>
      </c>
      <c r="J478" s="11">
        <f>Análises!F478</f>
        <v>1.0590253760394639</v>
      </c>
    </row>
    <row r="479" spans="1:10">
      <c r="A479" s="6" t="s">
        <v>171</v>
      </c>
      <c r="B479" s="7">
        <v>44674</v>
      </c>
      <c r="C479" s="6" t="s">
        <v>160</v>
      </c>
      <c r="D479" s="6" t="s">
        <v>0</v>
      </c>
      <c r="E479" s="6" t="s">
        <v>1</v>
      </c>
      <c r="F479" s="6">
        <v>22256</v>
      </c>
      <c r="G479" s="6">
        <v>50</v>
      </c>
      <c r="H479" s="12">
        <v>1659.999967</v>
      </c>
      <c r="I479" s="6">
        <v>500</v>
      </c>
      <c r="J479" s="11">
        <f>Análises!F479</f>
        <v>89.361447579474557</v>
      </c>
    </row>
    <row r="480" spans="1:10">
      <c r="A480" s="6" t="s">
        <v>171</v>
      </c>
      <c r="B480" s="7">
        <v>44675</v>
      </c>
      <c r="C480" s="6" t="s">
        <v>160</v>
      </c>
      <c r="D480" s="6" t="s">
        <v>0</v>
      </c>
      <c r="E480" s="6" t="s">
        <v>1</v>
      </c>
      <c r="F480" s="6">
        <v>57690</v>
      </c>
      <c r="G480" s="6">
        <v>200</v>
      </c>
      <c r="H480" s="12">
        <v>6740.0000099999997</v>
      </c>
      <c r="I480" s="6">
        <v>450</v>
      </c>
      <c r="J480" s="11">
        <f>Análises!F480</f>
        <v>19.029673560786836</v>
      </c>
    </row>
    <row r="481" spans="1:10">
      <c r="A481" s="6" t="s">
        <v>171</v>
      </c>
      <c r="B481" s="7">
        <v>44676</v>
      </c>
      <c r="C481" s="6" t="s">
        <v>160</v>
      </c>
      <c r="D481" s="6" t="s">
        <v>0</v>
      </c>
      <c r="E481" s="6" t="s">
        <v>1</v>
      </c>
      <c r="F481" s="6">
        <v>24952</v>
      </c>
      <c r="G481" s="6">
        <v>250</v>
      </c>
      <c r="H481" s="12">
        <v>8220.0002669999994</v>
      </c>
      <c r="I481" s="6">
        <v>650</v>
      </c>
      <c r="J481" s="11">
        <f>Análises!F481</f>
        <v>22.722626966673797</v>
      </c>
    </row>
    <row r="482" spans="1:10">
      <c r="A482" s="6" t="s">
        <v>171</v>
      </c>
      <c r="B482" s="7">
        <v>44677</v>
      </c>
      <c r="C482" s="6" t="s">
        <v>160</v>
      </c>
      <c r="D482" s="6" t="s">
        <v>0</v>
      </c>
      <c r="E482" s="6" t="s">
        <v>1</v>
      </c>
      <c r="F482" s="6">
        <v>38900</v>
      </c>
      <c r="G482" s="6">
        <v>150</v>
      </c>
      <c r="H482" s="12">
        <v>5580.000043</v>
      </c>
      <c r="I482" s="6">
        <v>450</v>
      </c>
      <c r="J482" s="11">
        <f>Análises!F482</f>
        <v>23.193548200659034</v>
      </c>
    </row>
    <row r="483" spans="1:10">
      <c r="A483" s="6" t="s">
        <v>171</v>
      </c>
      <c r="B483" s="7">
        <v>44678</v>
      </c>
      <c r="C483" s="6" t="s">
        <v>160</v>
      </c>
      <c r="D483" s="6" t="s">
        <v>0</v>
      </c>
      <c r="E483" s="6" t="s">
        <v>1</v>
      </c>
      <c r="F483" s="6">
        <v>53520</v>
      </c>
      <c r="G483" s="6">
        <v>300</v>
      </c>
      <c r="H483" s="12">
        <v>9229.9998999999989</v>
      </c>
      <c r="I483" s="6">
        <v>500</v>
      </c>
      <c r="J483" s="11">
        <f>Análises!F483</f>
        <v>15.251354455594308</v>
      </c>
    </row>
    <row r="484" spans="1:10">
      <c r="A484" s="6" t="s">
        <v>171</v>
      </c>
      <c r="B484" s="7">
        <v>44679</v>
      </c>
      <c r="C484" s="6" t="s">
        <v>160</v>
      </c>
      <c r="D484" s="6" t="s">
        <v>0</v>
      </c>
      <c r="E484" s="6" t="s">
        <v>1</v>
      </c>
      <c r="F484" s="6">
        <v>181683</v>
      </c>
      <c r="G484" s="6">
        <v>1000</v>
      </c>
      <c r="H484" s="12">
        <v>34229.99972</v>
      </c>
      <c r="I484" s="6">
        <v>550</v>
      </c>
      <c r="J484" s="11">
        <f>Análises!F484</f>
        <v>3.8203330806220648</v>
      </c>
    </row>
    <row r="485" spans="1:10">
      <c r="A485" s="6" t="s">
        <v>171</v>
      </c>
      <c r="B485" s="7">
        <v>44680</v>
      </c>
      <c r="C485" s="6" t="s">
        <v>160</v>
      </c>
      <c r="D485" s="6" t="s">
        <v>0</v>
      </c>
      <c r="E485" s="6" t="s">
        <v>1</v>
      </c>
      <c r="F485" s="6">
        <v>29185</v>
      </c>
      <c r="G485" s="6">
        <v>100</v>
      </c>
      <c r="H485" s="12">
        <v>3149.9999760000001</v>
      </c>
      <c r="I485" s="6">
        <v>450</v>
      </c>
      <c r="J485" s="11">
        <f>Análises!F485</f>
        <v>41.857143183673472</v>
      </c>
    </row>
    <row r="486" spans="1:10">
      <c r="A486" s="6" t="s">
        <v>171</v>
      </c>
      <c r="B486" s="7">
        <v>44681</v>
      </c>
      <c r="C486" s="6" t="s">
        <v>160</v>
      </c>
      <c r="D486" s="6" t="s">
        <v>0</v>
      </c>
      <c r="E486" s="6" t="s">
        <v>1</v>
      </c>
      <c r="F486" s="6">
        <v>105047</v>
      </c>
      <c r="G486" s="6">
        <v>650</v>
      </c>
      <c r="H486" s="12">
        <v>20209.999400000001</v>
      </c>
      <c r="I486" s="6">
        <v>600</v>
      </c>
      <c r="J486" s="11">
        <f>Análises!F486</f>
        <v>7.9064822040519207</v>
      </c>
    </row>
    <row r="487" spans="1:10">
      <c r="A487" s="6" t="s">
        <v>171</v>
      </c>
      <c r="B487" s="7">
        <v>44682</v>
      </c>
      <c r="C487" s="6" t="s">
        <v>160</v>
      </c>
      <c r="D487" s="6" t="s">
        <v>0</v>
      </c>
      <c r="E487" s="6" t="s">
        <v>1</v>
      </c>
      <c r="F487" s="6">
        <v>287976</v>
      </c>
      <c r="G487" s="6">
        <v>1550</v>
      </c>
      <c r="H487" s="12">
        <v>59439.999819999997</v>
      </c>
      <c r="I487" s="6">
        <v>650</v>
      </c>
      <c r="J487" s="11">
        <f>Análises!F487</f>
        <v>2.2806191216438672</v>
      </c>
    </row>
    <row r="488" spans="1:10">
      <c r="A488" s="6" t="s">
        <v>171</v>
      </c>
      <c r="B488" s="7">
        <v>44683</v>
      </c>
      <c r="C488" s="6" t="s">
        <v>160</v>
      </c>
      <c r="D488" s="6" t="s">
        <v>0</v>
      </c>
      <c r="E488" s="6" t="s">
        <v>1</v>
      </c>
      <c r="F488" s="6">
        <v>212175</v>
      </c>
      <c r="G488" s="6">
        <v>1100</v>
      </c>
      <c r="H488" s="12">
        <v>38589.999680000001</v>
      </c>
      <c r="I488" s="6">
        <v>500</v>
      </c>
      <c r="J488" s="11">
        <f>Análises!F488</f>
        <v>2.887017394243212</v>
      </c>
    </row>
    <row r="489" spans="1:10">
      <c r="A489" s="6" t="s">
        <v>171</v>
      </c>
      <c r="B489" s="7">
        <v>44684</v>
      </c>
      <c r="C489" s="6" t="s">
        <v>160</v>
      </c>
      <c r="D489" s="6" t="s">
        <v>0</v>
      </c>
      <c r="E489" s="6" t="s">
        <v>1</v>
      </c>
      <c r="F489" s="6">
        <v>124005</v>
      </c>
      <c r="G489" s="6">
        <v>550</v>
      </c>
      <c r="H489" s="12">
        <v>21849.999789999998</v>
      </c>
      <c r="I489" s="6">
        <v>650</v>
      </c>
      <c r="J489" s="11">
        <f>Análises!F489</f>
        <v>7.9244852116312083</v>
      </c>
    </row>
    <row r="490" spans="1:10">
      <c r="A490" s="6" t="s">
        <v>171</v>
      </c>
      <c r="B490" s="7">
        <v>44685</v>
      </c>
      <c r="C490" s="6" t="s">
        <v>160</v>
      </c>
      <c r="D490" s="6" t="s">
        <v>0</v>
      </c>
      <c r="E490" s="6" t="s">
        <v>1</v>
      </c>
      <c r="F490" s="6">
        <v>20423</v>
      </c>
      <c r="G490" s="6">
        <v>50</v>
      </c>
      <c r="H490" s="12">
        <v>1960.0000379999999</v>
      </c>
      <c r="I490" s="6">
        <v>450</v>
      </c>
      <c r="J490" s="11">
        <f>Análises!F490</f>
        <v>67.877549685027105</v>
      </c>
    </row>
    <row r="491" spans="1:10">
      <c r="A491" s="6" t="s">
        <v>171</v>
      </c>
      <c r="B491" s="7">
        <v>44686</v>
      </c>
      <c r="C491" s="6" t="s">
        <v>160</v>
      </c>
      <c r="D491" s="6" t="s">
        <v>0</v>
      </c>
      <c r="E491" s="6" t="s">
        <v>1</v>
      </c>
      <c r="F491" s="6">
        <v>103001</v>
      </c>
      <c r="G491" s="6">
        <v>700</v>
      </c>
      <c r="H491" s="12">
        <v>22320.000050000002</v>
      </c>
      <c r="I491" s="6">
        <v>450</v>
      </c>
      <c r="J491" s="11">
        <f>Análises!F491</f>
        <v>5.0483870832249389</v>
      </c>
    </row>
    <row r="492" spans="1:10">
      <c r="A492" s="6" t="s">
        <v>171</v>
      </c>
      <c r="B492" s="7">
        <v>44687</v>
      </c>
      <c r="C492" s="6" t="s">
        <v>160</v>
      </c>
      <c r="D492" s="6" t="s">
        <v>0</v>
      </c>
      <c r="E492" s="6" t="s">
        <v>1</v>
      </c>
      <c r="F492" s="6">
        <v>447420</v>
      </c>
      <c r="G492" s="6">
        <v>3300</v>
      </c>
      <c r="H492" s="12">
        <v>110239.9991</v>
      </c>
      <c r="I492" s="6">
        <v>850</v>
      </c>
      <c r="J492" s="11">
        <f>Análises!F492</f>
        <v>1.3131349971137654</v>
      </c>
    </row>
    <row r="493" spans="1:10">
      <c r="A493" s="6" t="s">
        <v>171</v>
      </c>
      <c r="B493" s="7">
        <v>44688</v>
      </c>
      <c r="C493" s="6" t="s">
        <v>160</v>
      </c>
      <c r="D493" s="6" t="s">
        <v>0</v>
      </c>
      <c r="E493" s="6" t="s">
        <v>1</v>
      </c>
      <c r="F493" s="6">
        <v>156101</v>
      </c>
      <c r="G493" s="6">
        <v>950</v>
      </c>
      <c r="H493" s="12">
        <v>29750.000480000002</v>
      </c>
      <c r="I493" s="6">
        <v>600</v>
      </c>
      <c r="J493" s="11">
        <f>Análises!F493</f>
        <v>5.0504200704470037</v>
      </c>
    </row>
    <row r="494" spans="1:10">
      <c r="A494" s="6" t="s">
        <v>171</v>
      </c>
      <c r="B494" s="7">
        <v>44689</v>
      </c>
      <c r="C494" s="6" t="s">
        <v>160</v>
      </c>
      <c r="D494" s="6" t="s">
        <v>0</v>
      </c>
      <c r="E494" s="6" t="s">
        <v>1</v>
      </c>
      <c r="F494" s="6">
        <v>93015</v>
      </c>
      <c r="G494" s="6">
        <v>600</v>
      </c>
      <c r="H494" s="12">
        <v>18470.00015</v>
      </c>
      <c r="I494" s="6">
        <v>450</v>
      </c>
      <c r="J494" s="11">
        <f>Análises!F494</f>
        <v>6.3091499135694376</v>
      </c>
    </row>
    <row r="495" spans="1:10">
      <c r="A495" s="6" t="s">
        <v>171</v>
      </c>
      <c r="B495" s="7">
        <v>44690</v>
      </c>
      <c r="C495" s="6" t="s">
        <v>160</v>
      </c>
      <c r="D495" s="6" t="s">
        <v>0</v>
      </c>
      <c r="E495" s="6" t="s">
        <v>1</v>
      </c>
      <c r="F495" s="6">
        <v>145398</v>
      </c>
      <c r="G495" s="6">
        <v>1150</v>
      </c>
      <c r="H495" s="12">
        <v>36240.000250000005</v>
      </c>
      <c r="I495" s="6">
        <v>450</v>
      </c>
      <c r="J495" s="11">
        <f>Análises!F495</f>
        <v>2.7251655372160206</v>
      </c>
    </row>
    <row r="496" spans="1:10">
      <c r="A496" s="6" t="s">
        <v>171</v>
      </c>
      <c r="B496" s="7">
        <v>44691</v>
      </c>
      <c r="C496" s="6" t="s">
        <v>160</v>
      </c>
      <c r="D496" s="6" t="s">
        <v>0</v>
      </c>
      <c r="E496" s="6" t="s">
        <v>1</v>
      </c>
      <c r="F496" s="6">
        <v>296413</v>
      </c>
      <c r="G496" s="6">
        <v>2500</v>
      </c>
      <c r="H496" s="12">
        <v>76439.999580000003</v>
      </c>
      <c r="I496" s="6">
        <v>600</v>
      </c>
      <c r="J496" s="11">
        <f>Análises!F496</f>
        <v>1.3547880820121794</v>
      </c>
    </row>
    <row r="497" spans="1:10">
      <c r="A497" s="6" t="s">
        <v>171</v>
      </c>
      <c r="B497" s="7">
        <v>44692</v>
      </c>
      <c r="C497" s="6" t="s">
        <v>160</v>
      </c>
      <c r="D497" s="6" t="s">
        <v>0</v>
      </c>
      <c r="E497" s="6" t="s">
        <v>1</v>
      </c>
      <c r="F497" s="6">
        <v>63785</v>
      </c>
      <c r="G497" s="6">
        <v>350</v>
      </c>
      <c r="H497" s="12">
        <v>11800.000190000001</v>
      </c>
      <c r="I497" s="6">
        <v>800</v>
      </c>
      <c r="J497" s="11">
        <f>Análises!F497</f>
        <v>19.338982723355361</v>
      </c>
    </row>
    <row r="498" spans="1:10">
      <c r="A498" s="6" t="s">
        <v>171</v>
      </c>
      <c r="B498" s="7">
        <v>44693</v>
      </c>
      <c r="C498" s="6" t="s">
        <v>160</v>
      </c>
      <c r="D498" s="6" t="s">
        <v>0</v>
      </c>
      <c r="E498" s="6" t="s">
        <v>1</v>
      </c>
      <c r="F498" s="6">
        <v>118522</v>
      </c>
      <c r="G498" s="6">
        <v>700</v>
      </c>
      <c r="H498" s="12">
        <v>26819.999809999998</v>
      </c>
      <c r="I498" s="6">
        <v>550</v>
      </c>
      <c r="J498" s="11">
        <f>Análises!F498</f>
        <v>5.1521253232253477</v>
      </c>
    </row>
    <row r="499" spans="1:10">
      <c r="A499" s="6" t="s">
        <v>171</v>
      </c>
      <c r="B499" s="7">
        <v>44694</v>
      </c>
      <c r="C499" s="6" t="s">
        <v>160</v>
      </c>
      <c r="D499" s="6" t="s">
        <v>0</v>
      </c>
      <c r="E499" s="6" t="s">
        <v>1</v>
      </c>
      <c r="F499" s="6">
        <v>240123</v>
      </c>
      <c r="G499" s="6">
        <v>1900</v>
      </c>
      <c r="H499" s="12">
        <v>65670.001150000011</v>
      </c>
      <c r="I499" s="6">
        <v>850</v>
      </c>
      <c r="J499" s="11">
        <f>Análises!F499</f>
        <v>2.8830515537458603</v>
      </c>
    </row>
    <row r="500" spans="1:10">
      <c r="A500" s="6" t="s">
        <v>171</v>
      </c>
      <c r="B500" s="7">
        <v>44695</v>
      </c>
      <c r="C500" s="6" t="s">
        <v>160</v>
      </c>
      <c r="D500" s="6" t="s">
        <v>0</v>
      </c>
      <c r="E500" s="6" t="s">
        <v>1</v>
      </c>
      <c r="F500" s="6">
        <v>169108</v>
      </c>
      <c r="G500" s="6">
        <v>1000</v>
      </c>
      <c r="H500" s="12">
        <v>32240.000250000001</v>
      </c>
      <c r="I500" s="6">
        <v>550</v>
      </c>
      <c r="J500" s="11">
        <f>Análises!F500</f>
        <v>4.117865965277093</v>
      </c>
    </row>
    <row r="501" spans="1:10">
      <c r="A501" s="6" t="s">
        <v>171</v>
      </c>
      <c r="B501" s="7">
        <v>44696</v>
      </c>
      <c r="C501" s="6" t="s">
        <v>160</v>
      </c>
      <c r="D501" s="6" t="s">
        <v>0</v>
      </c>
      <c r="E501" s="6" t="s">
        <v>1</v>
      </c>
      <c r="F501" s="6">
        <v>1044442</v>
      </c>
      <c r="G501" s="6">
        <v>7100</v>
      </c>
      <c r="H501" s="12">
        <v>245599.9999</v>
      </c>
      <c r="I501" s="6">
        <v>1900</v>
      </c>
      <c r="J501" s="11">
        <f>Análises!F501</f>
        <v>1.3208469064824295</v>
      </c>
    </row>
    <row r="502" spans="1:10">
      <c r="A502" s="6" t="s">
        <v>171</v>
      </c>
      <c r="B502" s="7">
        <v>44697</v>
      </c>
      <c r="C502" s="6" t="s">
        <v>160</v>
      </c>
      <c r="D502" s="6" t="s">
        <v>0</v>
      </c>
      <c r="E502" s="6" t="s">
        <v>1</v>
      </c>
      <c r="F502" s="6">
        <v>93891</v>
      </c>
      <c r="G502" s="6">
        <v>550</v>
      </c>
      <c r="H502" s="12">
        <v>17640.000100000001</v>
      </c>
      <c r="I502" s="6">
        <v>800</v>
      </c>
      <c r="J502" s="11">
        <f>Análises!F502</f>
        <v>12.60544209974239</v>
      </c>
    </row>
    <row r="503" spans="1:10">
      <c r="A503" s="6" t="s">
        <v>171</v>
      </c>
      <c r="B503" s="7">
        <v>44698</v>
      </c>
      <c r="C503" s="6" t="s">
        <v>160</v>
      </c>
      <c r="D503" s="6" t="s">
        <v>0</v>
      </c>
      <c r="E503" s="6" t="s">
        <v>1</v>
      </c>
      <c r="F503" s="6">
        <v>185823</v>
      </c>
      <c r="G503" s="6">
        <v>1250</v>
      </c>
      <c r="H503" s="12">
        <v>38549.999360000002</v>
      </c>
      <c r="I503" s="6">
        <v>650</v>
      </c>
      <c r="J503" s="11">
        <f>Análises!F503</f>
        <v>4.058365842732921</v>
      </c>
    </row>
    <row r="504" spans="1:10">
      <c r="A504" s="6" t="s">
        <v>171</v>
      </c>
      <c r="B504" s="7">
        <v>44699</v>
      </c>
      <c r="C504" s="6" t="s">
        <v>160</v>
      </c>
      <c r="D504" s="6" t="s">
        <v>0</v>
      </c>
      <c r="E504" s="6" t="s">
        <v>1</v>
      </c>
      <c r="F504" s="6">
        <v>175631</v>
      </c>
      <c r="G504" s="6">
        <v>1150</v>
      </c>
      <c r="H504" s="12">
        <v>40759.999510000001</v>
      </c>
      <c r="I504" s="6">
        <v>400</v>
      </c>
      <c r="J504" s="11">
        <f>Análises!F504</f>
        <v>1.9440628420655248</v>
      </c>
    </row>
    <row r="505" spans="1:10">
      <c r="A505" s="6" t="s">
        <v>171</v>
      </c>
      <c r="B505" s="7">
        <v>44700</v>
      </c>
      <c r="C505" s="6" t="s">
        <v>160</v>
      </c>
      <c r="D505" s="6" t="s">
        <v>0</v>
      </c>
      <c r="E505" s="6" t="s">
        <v>1</v>
      </c>
      <c r="F505" s="6">
        <v>37187</v>
      </c>
      <c r="G505" s="6">
        <v>200</v>
      </c>
      <c r="H505" s="12">
        <v>6370.0000049999999</v>
      </c>
      <c r="I505" s="6">
        <v>450</v>
      </c>
      <c r="J505" s="11">
        <f>Análises!F505</f>
        <v>20.193092605028973</v>
      </c>
    </row>
    <row r="506" spans="1:10">
      <c r="A506" s="6" t="s">
        <v>171</v>
      </c>
      <c r="B506" s="7">
        <v>44701</v>
      </c>
      <c r="C506" s="6" t="s">
        <v>160</v>
      </c>
      <c r="D506" s="6" t="s">
        <v>0</v>
      </c>
      <c r="E506" s="6" t="s">
        <v>1</v>
      </c>
      <c r="F506" s="6">
        <v>344618</v>
      </c>
      <c r="G506" s="6">
        <v>2550</v>
      </c>
      <c r="H506" s="12">
        <v>89760.000469999999</v>
      </c>
      <c r="I506" s="6">
        <v>600</v>
      </c>
      <c r="J506" s="11">
        <f>Análises!F506</f>
        <v>1.005347583082516</v>
      </c>
    </row>
    <row r="507" spans="1:10">
      <c r="A507" s="6" t="s">
        <v>171</v>
      </c>
      <c r="B507" s="7">
        <v>44702</v>
      </c>
      <c r="C507" s="6" t="s">
        <v>160</v>
      </c>
      <c r="D507" s="6" t="s">
        <v>0</v>
      </c>
      <c r="E507" s="6" t="s">
        <v>1</v>
      </c>
      <c r="F507" s="6">
        <v>33445</v>
      </c>
      <c r="G507" s="6">
        <v>100</v>
      </c>
      <c r="H507" s="12">
        <v>3199.9999280000002</v>
      </c>
      <c r="I507" s="6">
        <v>450</v>
      </c>
      <c r="J507" s="11">
        <f>Análises!F507</f>
        <v>41.187500949218766</v>
      </c>
    </row>
    <row r="508" spans="1:10">
      <c r="A508" s="6" t="s">
        <v>171</v>
      </c>
      <c r="B508" s="7">
        <v>44703</v>
      </c>
      <c r="C508" s="6" t="s">
        <v>160</v>
      </c>
      <c r="D508" s="6" t="s">
        <v>0</v>
      </c>
      <c r="E508" s="6" t="s">
        <v>1</v>
      </c>
      <c r="F508" s="6">
        <v>72228</v>
      </c>
      <c r="G508" s="6">
        <v>250</v>
      </c>
      <c r="H508" s="12">
        <v>7529.9998520000008</v>
      </c>
      <c r="I508" s="6">
        <v>800</v>
      </c>
      <c r="J508" s="11">
        <f>Análises!F508</f>
        <v>30.872510586604452</v>
      </c>
    </row>
    <row r="509" spans="1:10">
      <c r="A509" s="6" t="s">
        <v>171</v>
      </c>
      <c r="B509" s="7">
        <v>44704</v>
      </c>
      <c r="C509" s="6" t="s">
        <v>160</v>
      </c>
      <c r="D509" s="6" t="s">
        <v>0</v>
      </c>
      <c r="E509" s="6" t="s">
        <v>1</v>
      </c>
      <c r="F509" s="6">
        <v>49699</v>
      </c>
      <c r="G509" s="6">
        <v>100</v>
      </c>
      <c r="H509" s="12">
        <v>2690.0000569999997</v>
      </c>
      <c r="I509" s="6">
        <v>550</v>
      </c>
      <c r="J509" s="11">
        <f>Análises!F509</f>
        <v>60.33828866309203</v>
      </c>
    </row>
    <row r="510" spans="1:10">
      <c r="A510" s="6" t="s">
        <v>171</v>
      </c>
      <c r="B510" s="7">
        <v>44705</v>
      </c>
      <c r="C510" s="6" t="s">
        <v>160</v>
      </c>
      <c r="D510" s="6" t="s">
        <v>0</v>
      </c>
      <c r="E510" s="6" t="s">
        <v>1</v>
      </c>
      <c r="F510" s="6">
        <v>189761</v>
      </c>
      <c r="G510" s="6">
        <v>900</v>
      </c>
      <c r="H510" s="12">
        <v>27329.999690000001</v>
      </c>
      <c r="I510" s="6">
        <v>650</v>
      </c>
      <c r="J510" s="11">
        <f>Análises!F510</f>
        <v>6.1350165463540112</v>
      </c>
    </row>
    <row r="511" spans="1:10">
      <c r="A511" s="6" t="s">
        <v>171</v>
      </c>
      <c r="B511" s="7">
        <v>44706</v>
      </c>
      <c r="C511" s="6" t="s">
        <v>160</v>
      </c>
      <c r="D511" s="6" t="s">
        <v>0</v>
      </c>
      <c r="E511" s="6" t="s">
        <v>1</v>
      </c>
      <c r="F511" s="6">
        <v>312524</v>
      </c>
      <c r="G511" s="6">
        <v>1850</v>
      </c>
      <c r="H511" s="12">
        <v>53789.99972</v>
      </c>
      <c r="I511" s="6">
        <v>500</v>
      </c>
      <c r="J511" s="11">
        <f>Análises!F511</f>
        <v>1.788622435040236</v>
      </c>
    </row>
    <row r="512" spans="1:10">
      <c r="A512" s="6" t="s">
        <v>171</v>
      </c>
      <c r="B512" s="7">
        <v>44707</v>
      </c>
      <c r="C512" s="6" t="s">
        <v>160</v>
      </c>
      <c r="D512" s="6" t="s">
        <v>0</v>
      </c>
      <c r="E512" s="6" t="s">
        <v>1</v>
      </c>
      <c r="F512" s="6">
        <v>496760</v>
      </c>
      <c r="G512" s="6">
        <v>2100</v>
      </c>
      <c r="H512" s="12">
        <v>61009.999039999995</v>
      </c>
      <c r="I512" s="6">
        <v>1000</v>
      </c>
      <c r="J512" s="11">
        <f>Análises!F512</f>
        <v>3.9172267615233194</v>
      </c>
    </row>
    <row r="513" spans="1:10">
      <c r="A513" s="6" t="s">
        <v>171</v>
      </c>
      <c r="B513" s="7">
        <v>44708</v>
      </c>
      <c r="C513" s="6" t="s">
        <v>160</v>
      </c>
      <c r="D513" s="6" t="s">
        <v>0</v>
      </c>
      <c r="E513" s="6" t="s">
        <v>1</v>
      </c>
      <c r="F513" s="6">
        <v>310988</v>
      </c>
      <c r="G513" s="6">
        <v>1700</v>
      </c>
      <c r="H513" s="12">
        <v>46669.999360000002</v>
      </c>
      <c r="I513" s="6">
        <v>1100</v>
      </c>
      <c r="J513" s="11">
        <f>Análises!F513</f>
        <v>6.0709236024296356</v>
      </c>
    </row>
    <row r="514" spans="1:10">
      <c r="A514" s="6" t="s">
        <v>171</v>
      </c>
      <c r="B514" s="7">
        <v>44709</v>
      </c>
      <c r="C514" s="6" t="s">
        <v>160</v>
      </c>
      <c r="D514" s="6" t="s">
        <v>0</v>
      </c>
      <c r="E514" s="6" t="s">
        <v>1</v>
      </c>
      <c r="F514" s="6">
        <v>98606</v>
      </c>
      <c r="G514" s="6">
        <v>450</v>
      </c>
      <c r="H514" s="12">
        <v>12109.99984</v>
      </c>
      <c r="I514" s="6">
        <v>400</v>
      </c>
      <c r="J514" s="11">
        <f>Análises!F514</f>
        <v>8.9091661094522347</v>
      </c>
    </row>
    <row r="515" spans="1:10">
      <c r="A515" s="6" t="s">
        <v>171</v>
      </c>
      <c r="B515" s="7">
        <v>44710</v>
      </c>
      <c r="C515" s="6" t="s">
        <v>160</v>
      </c>
      <c r="D515" s="6" t="s">
        <v>0</v>
      </c>
      <c r="E515" s="6" t="s">
        <v>1</v>
      </c>
      <c r="F515" s="6">
        <v>51104</v>
      </c>
      <c r="G515" s="6">
        <v>100</v>
      </c>
      <c r="H515" s="12">
        <v>3199.9999280000002</v>
      </c>
      <c r="I515" s="6">
        <v>600</v>
      </c>
      <c r="J515" s="11">
        <f>Análises!F515</f>
        <v>55.250001265625023</v>
      </c>
    </row>
    <row r="516" spans="1:10">
      <c r="A516" s="6" t="s">
        <v>171</v>
      </c>
      <c r="B516" s="7">
        <v>44711</v>
      </c>
      <c r="C516" s="6" t="s">
        <v>160</v>
      </c>
      <c r="D516" s="6" t="s">
        <v>0</v>
      </c>
      <c r="E516" s="6" t="s">
        <v>1</v>
      </c>
      <c r="F516" s="6">
        <v>276762</v>
      </c>
      <c r="G516" s="6">
        <v>1100</v>
      </c>
      <c r="H516" s="12">
        <v>32090.00015</v>
      </c>
      <c r="I516" s="6">
        <v>700</v>
      </c>
      <c r="J516" s="11">
        <f>Análises!F516</f>
        <v>5.5440947029724459</v>
      </c>
    </row>
    <row r="517" spans="1:10">
      <c r="A517" s="6" t="s">
        <v>172</v>
      </c>
      <c r="B517" s="7">
        <v>44712</v>
      </c>
      <c r="C517" s="6" t="s">
        <v>160</v>
      </c>
      <c r="D517" s="6" t="s">
        <v>2</v>
      </c>
      <c r="E517" s="6" t="s">
        <v>5</v>
      </c>
      <c r="F517" s="6">
        <v>127546</v>
      </c>
      <c r="G517" s="6">
        <v>1250</v>
      </c>
      <c r="H517" s="12">
        <v>38940.000410000001</v>
      </c>
      <c r="I517" s="6">
        <v>50</v>
      </c>
      <c r="J517" s="11">
        <f>Análises!F517</f>
        <v>-0.61479199172920607</v>
      </c>
    </row>
    <row r="518" spans="1:10">
      <c r="A518" s="6" t="s">
        <v>172</v>
      </c>
      <c r="B518" s="7">
        <v>44713</v>
      </c>
      <c r="C518" s="6" t="s">
        <v>160</v>
      </c>
      <c r="D518" s="6" t="s">
        <v>2</v>
      </c>
      <c r="E518" s="6" t="s">
        <v>5</v>
      </c>
      <c r="F518" s="6">
        <v>127865</v>
      </c>
      <c r="G518" s="6">
        <v>1400</v>
      </c>
      <c r="H518" s="12">
        <v>38029.999609999999</v>
      </c>
      <c r="I518" s="6">
        <v>150</v>
      </c>
      <c r="J518" s="11">
        <f>Análises!F518</f>
        <v>0.18327637290238724</v>
      </c>
    </row>
    <row r="519" spans="1:10">
      <c r="A519" s="6" t="s">
        <v>172</v>
      </c>
      <c r="B519" s="7">
        <v>44714</v>
      </c>
      <c r="C519" s="6" t="s">
        <v>160</v>
      </c>
      <c r="D519" s="6" t="s">
        <v>2</v>
      </c>
      <c r="E519" s="6" t="s">
        <v>5</v>
      </c>
      <c r="F519" s="6">
        <v>1025327</v>
      </c>
      <c r="G519" s="6">
        <v>11450</v>
      </c>
      <c r="H519" s="12">
        <v>314299.99830000004</v>
      </c>
      <c r="I519" s="6">
        <v>700</v>
      </c>
      <c r="J519" s="11">
        <f>Análises!F519</f>
        <v>-0.33184854872460245</v>
      </c>
    </row>
    <row r="520" spans="1:10">
      <c r="A520" s="6" t="s">
        <v>172</v>
      </c>
      <c r="B520" s="7">
        <v>44715</v>
      </c>
      <c r="C520" s="6" t="s">
        <v>160</v>
      </c>
      <c r="D520" s="6" t="s">
        <v>2</v>
      </c>
      <c r="E520" s="6" t="s">
        <v>5</v>
      </c>
      <c r="F520" s="6">
        <v>561415</v>
      </c>
      <c r="G520" s="6">
        <v>6200</v>
      </c>
      <c r="H520" s="12">
        <v>173760</v>
      </c>
      <c r="I520" s="6">
        <v>250</v>
      </c>
      <c r="J520" s="11">
        <f>Análises!F520</f>
        <v>-0.5683701657458563</v>
      </c>
    </row>
    <row r="521" spans="1:10">
      <c r="A521" s="6" t="s">
        <v>172</v>
      </c>
      <c r="B521" s="7">
        <v>44716</v>
      </c>
      <c r="C521" s="6" t="s">
        <v>160</v>
      </c>
      <c r="D521" s="6" t="s">
        <v>2</v>
      </c>
      <c r="E521" s="6" t="s">
        <v>5</v>
      </c>
      <c r="F521" s="6">
        <v>132803</v>
      </c>
      <c r="G521" s="6">
        <v>1250</v>
      </c>
      <c r="H521" s="12">
        <v>37320.001240000005</v>
      </c>
      <c r="I521" s="6">
        <v>300</v>
      </c>
      <c r="J521" s="11">
        <f>Análises!F521</f>
        <v>1.4115754825735902</v>
      </c>
    </row>
    <row r="522" spans="1:10">
      <c r="A522" s="6" t="s">
        <v>172</v>
      </c>
      <c r="B522" s="7">
        <v>44717</v>
      </c>
      <c r="C522" s="6" t="s">
        <v>160</v>
      </c>
      <c r="D522" s="6" t="s">
        <v>2</v>
      </c>
      <c r="E522" s="6" t="s">
        <v>5</v>
      </c>
      <c r="F522" s="6">
        <v>24664</v>
      </c>
      <c r="G522" s="6">
        <v>100</v>
      </c>
      <c r="H522" s="12">
        <v>2629.9999950000001</v>
      </c>
      <c r="I522" s="6">
        <v>50</v>
      </c>
      <c r="J522" s="11">
        <f>Análises!F522</f>
        <v>4.7034220640749469</v>
      </c>
    </row>
    <row r="523" spans="1:10">
      <c r="A523" s="6" t="s">
        <v>172</v>
      </c>
      <c r="B523" s="7">
        <v>44718</v>
      </c>
      <c r="C523" s="6" t="s">
        <v>160</v>
      </c>
      <c r="D523" s="6" t="s">
        <v>2</v>
      </c>
      <c r="E523" s="6" t="s">
        <v>5</v>
      </c>
      <c r="F523" s="6">
        <v>1020561</v>
      </c>
      <c r="G523" s="6">
        <v>8600</v>
      </c>
      <c r="H523" s="12">
        <v>263810.00069999998</v>
      </c>
      <c r="I523" s="6">
        <v>350</v>
      </c>
      <c r="J523" s="11">
        <f>Análises!F523</f>
        <v>-0.60198627905920776</v>
      </c>
    </row>
    <row r="524" spans="1:10">
      <c r="A524" s="6" t="s">
        <v>172</v>
      </c>
      <c r="B524" s="7">
        <v>44719</v>
      </c>
      <c r="C524" s="6" t="s">
        <v>160</v>
      </c>
      <c r="D524" s="6" t="s">
        <v>2</v>
      </c>
      <c r="E524" s="6" t="s">
        <v>5</v>
      </c>
      <c r="F524" s="6">
        <v>682143</v>
      </c>
      <c r="G524" s="6">
        <v>5700</v>
      </c>
      <c r="H524" s="12">
        <v>177109.9993</v>
      </c>
      <c r="I524" s="6">
        <v>500</v>
      </c>
      <c r="J524" s="11">
        <f>Análises!F524</f>
        <v>-0.15306871101094288</v>
      </c>
    </row>
    <row r="525" spans="1:10">
      <c r="A525" s="6" t="s">
        <v>172</v>
      </c>
      <c r="B525" s="7">
        <v>44720</v>
      </c>
      <c r="C525" s="6" t="s">
        <v>160</v>
      </c>
      <c r="D525" s="6" t="s">
        <v>2</v>
      </c>
      <c r="E525" s="6" t="s">
        <v>5</v>
      </c>
      <c r="F525" s="6">
        <v>1247717</v>
      </c>
      <c r="G525" s="6">
        <v>11100</v>
      </c>
      <c r="H525" s="12">
        <v>343419.99939999997</v>
      </c>
      <c r="I525" s="6">
        <v>750</v>
      </c>
      <c r="J525" s="11">
        <f>Análises!F525</f>
        <v>-0.3448255768647584</v>
      </c>
    </row>
    <row r="526" spans="1:10">
      <c r="A526" s="6" t="s">
        <v>172</v>
      </c>
      <c r="B526" s="7">
        <v>44721</v>
      </c>
      <c r="C526" s="6" t="s">
        <v>160</v>
      </c>
      <c r="D526" s="6" t="s">
        <v>2</v>
      </c>
      <c r="E526" s="6" t="s">
        <v>5</v>
      </c>
      <c r="F526" s="6">
        <v>146406</v>
      </c>
      <c r="G526" s="6">
        <v>1150</v>
      </c>
      <c r="H526" s="12">
        <v>33229.99942</v>
      </c>
      <c r="I526" s="6">
        <v>250</v>
      </c>
      <c r="J526" s="11">
        <f>Análises!F526</f>
        <v>1.2569967291320525</v>
      </c>
    </row>
    <row r="527" spans="1:10">
      <c r="A527" s="6" t="s">
        <v>172</v>
      </c>
      <c r="B527" s="7">
        <v>44722</v>
      </c>
      <c r="C527" s="6" t="s">
        <v>160</v>
      </c>
      <c r="D527" s="6" t="s">
        <v>2</v>
      </c>
      <c r="E527" s="6" t="s">
        <v>5</v>
      </c>
      <c r="F527" s="6">
        <v>905699</v>
      </c>
      <c r="G527" s="6">
        <v>8050</v>
      </c>
      <c r="H527" s="12">
        <v>234659.9982</v>
      </c>
      <c r="I527" s="6">
        <v>350</v>
      </c>
      <c r="J527" s="11">
        <f>Análises!F527</f>
        <v>-0.55254410293437051</v>
      </c>
    </row>
    <row r="528" spans="1:10">
      <c r="A528" s="6" t="s">
        <v>172</v>
      </c>
      <c r="B528" s="7">
        <v>44723</v>
      </c>
      <c r="C528" s="6" t="s">
        <v>160</v>
      </c>
      <c r="D528" s="6" t="s">
        <v>2</v>
      </c>
      <c r="E528" s="6" t="s">
        <v>5</v>
      </c>
      <c r="F528" s="6">
        <v>1184580</v>
      </c>
      <c r="G528" s="6">
        <v>9700</v>
      </c>
      <c r="H528" s="12">
        <v>297829.99810000003</v>
      </c>
      <c r="I528" s="6">
        <v>750</v>
      </c>
      <c r="J528" s="11">
        <f>Análises!F528</f>
        <v>-0.24453546843708629</v>
      </c>
    </row>
    <row r="529" spans="1:10">
      <c r="A529" s="6" t="s">
        <v>172</v>
      </c>
      <c r="B529" s="7">
        <v>44724</v>
      </c>
      <c r="C529" s="6" t="s">
        <v>160</v>
      </c>
      <c r="D529" s="6" t="s">
        <v>2</v>
      </c>
      <c r="E529" s="6" t="s">
        <v>5</v>
      </c>
      <c r="F529" s="6">
        <v>98057</v>
      </c>
      <c r="G529" s="6">
        <v>1000</v>
      </c>
      <c r="H529" s="12">
        <v>31009.999629999998</v>
      </c>
      <c r="I529" s="6">
        <v>150</v>
      </c>
      <c r="J529" s="11">
        <f>Análises!F529</f>
        <v>0.45114480931711004</v>
      </c>
    </row>
    <row r="530" spans="1:10">
      <c r="A530" s="6" t="s">
        <v>172</v>
      </c>
      <c r="B530" s="7">
        <v>44725</v>
      </c>
      <c r="C530" s="6" t="s">
        <v>160</v>
      </c>
      <c r="D530" s="6" t="s">
        <v>2</v>
      </c>
      <c r="E530" s="6" t="s">
        <v>5</v>
      </c>
      <c r="F530" s="6">
        <v>238735</v>
      </c>
      <c r="G530" s="6">
        <v>2800</v>
      </c>
      <c r="H530" s="12">
        <v>84659.998890000003</v>
      </c>
      <c r="I530" s="6">
        <v>150</v>
      </c>
      <c r="J530" s="11">
        <f>Análises!F530</f>
        <v>-0.46846207665949569</v>
      </c>
    </row>
    <row r="531" spans="1:10">
      <c r="A531" s="6" t="s">
        <v>172</v>
      </c>
      <c r="B531" s="7">
        <v>44726</v>
      </c>
      <c r="C531" s="6" t="s">
        <v>160</v>
      </c>
      <c r="D531" s="6" t="s">
        <v>2</v>
      </c>
      <c r="E531" s="6" t="s">
        <v>5</v>
      </c>
      <c r="F531" s="6">
        <v>320657</v>
      </c>
      <c r="G531" s="6">
        <v>3850</v>
      </c>
      <c r="H531" s="12">
        <v>115880.00259999999</v>
      </c>
      <c r="I531" s="6">
        <v>50</v>
      </c>
      <c r="J531" s="11">
        <f>Análises!F531</f>
        <v>-0.87055575022915987</v>
      </c>
    </row>
    <row r="532" spans="1:10">
      <c r="A532" s="6" t="s">
        <v>172</v>
      </c>
      <c r="B532" s="7">
        <v>44727</v>
      </c>
      <c r="C532" s="6" t="s">
        <v>160</v>
      </c>
      <c r="D532" s="6" t="s">
        <v>2</v>
      </c>
      <c r="E532" s="6" t="s">
        <v>5</v>
      </c>
      <c r="F532" s="6">
        <v>244074</v>
      </c>
      <c r="G532" s="6">
        <v>2850</v>
      </c>
      <c r="H532" s="12">
        <v>84510.000230000005</v>
      </c>
      <c r="I532" s="6">
        <v>150</v>
      </c>
      <c r="J532" s="11">
        <f>Análises!F532</f>
        <v>-0.46751863829689644</v>
      </c>
    </row>
    <row r="533" spans="1:10">
      <c r="A533" s="6" t="s">
        <v>172</v>
      </c>
      <c r="B533" s="7">
        <v>44728</v>
      </c>
      <c r="C533" s="6" t="s">
        <v>160</v>
      </c>
      <c r="D533" s="6" t="s">
        <v>2</v>
      </c>
      <c r="E533" s="6" t="s">
        <v>5</v>
      </c>
      <c r="F533" s="6">
        <v>39146</v>
      </c>
      <c r="G533" s="6">
        <v>400</v>
      </c>
      <c r="H533" s="12">
        <v>13059.999589999999</v>
      </c>
      <c r="I533" s="6">
        <v>0</v>
      </c>
      <c r="J533" s="11">
        <f>Análises!F533</f>
        <v>-1</v>
      </c>
    </row>
    <row r="534" spans="1:10">
      <c r="A534" s="6" t="s">
        <v>172</v>
      </c>
      <c r="B534" s="7">
        <v>44729</v>
      </c>
      <c r="C534" s="6" t="s">
        <v>160</v>
      </c>
      <c r="D534" s="6" t="s">
        <v>2</v>
      </c>
      <c r="E534" s="6" t="s">
        <v>5</v>
      </c>
      <c r="F534" s="6">
        <v>78468</v>
      </c>
      <c r="G534" s="6">
        <v>750</v>
      </c>
      <c r="H534" s="12">
        <v>23649.999619999999</v>
      </c>
      <c r="I534" s="6">
        <v>50</v>
      </c>
      <c r="J534" s="11">
        <f>Análises!F534</f>
        <v>-0.3657505183503254</v>
      </c>
    </row>
    <row r="535" spans="1:10">
      <c r="A535" s="6" t="s">
        <v>172</v>
      </c>
      <c r="B535" s="7">
        <v>44730</v>
      </c>
      <c r="C535" s="6" t="s">
        <v>160</v>
      </c>
      <c r="D535" s="6" t="s">
        <v>2</v>
      </c>
      <c r="E535" s="6" t="s">
        <v>5</v>
      </c>
      <c r="F535" s="6">
        <v>325653</v>
      </c>
      <c r="G535" s="6">
        <v>3150</v>
      </c>
      <c r="H535" s="12">
        <v>89350.000260000001</v>
      </c>
      <c r="I535" s="6">
        <v>100</v>
      </c>
      <c r="J535" s="11">
        <f>Análises!F535</f>
        <v>-0.66424174691994564</v>
      </c>
    </row>
    <row r="536" spans="1:10">
      <c r="A536" s="6" t="s">
        <v>172</v>
      </c>
      <c r="B536" s="7">
        <v>44731</v>
      </c>
      <c r="C536" s="6" t="s">
        <v>160</v>
      </c>
      <c r="D536" s="6" t="s">
        <v>2</v>
      </c>
      <c r="E536" s="6" t="s">
        <v>5</v>
      </c>
      <c r="F536" s="6">
        <v>66277</v>
      </c>
      <c r="G536" s="6">
        <v>600</v>
      </c>
      <c r="H536" s="12">
        <v>17300.000189999999</v>
      </c>
      <c r="I536" s="6">
        <v>200</v>
      </c>
      <c r="J536" s="11">
        <f>Análises!F536</f>
        <v>2.468208054395403</v>
      </c>
    </row>
    <row r="537" spans="1:10">
      <c r="A537" s="6" t="s">
        <v>172</v>
      </c>
      <c r="B537" s="7">
        <v>44732</v>
      </c>
      <c r="C537" s="6" t="s">
        <v>160</v>
      </c>
      <c r="D537" s="6" t="s">
        <v>2</v>
      </c>
      <c r="E537" s="6" t="s">
        <v>5</v>
      </c>
      <c r="F537" s="6">
        <v>93002</v>
      </c>
      <c r="G537" s="6">
        <v>800</v>
      </c>
      <c r="H537" s="12">
        <v>23339.999679999997</v>
      </c>
      <c r="I537" s="6">
        <v>0</v>
      </c>
      <c r="J537" s="11">
        <f>Análises!F537</f>
        <v>-1</v>
      </c>
    </row>
    <row r="538" spans="1:10">
      <c r="A538" s="6" t="s">
        <v>172</v>
      </c>
      <c r="B538" s="7">
        <v>44733</v>
      </c>
      <c r="C538" s="6" t="s">
        <v>160</v>
      </c>
      <c r="D538" s="6" t="s">
        <v>2</v>
      </c>
      <c r="E538" s="6" t="s">
        <v>5</v>
      </c>
      <c r="F538" s="6">
        <v>109723</v>
      </c>
      <c r="G538" s="6">
        <v>1350</v>
      </c>
      <c r="H538" s="12">
        <v>40960.000399999997</v>
      </c>
      <c r="I538" s="6">
        <v>50</v>
      </c>
      <c r="J538" s="11">
        <f>Análises!F538</f>
        <v>-0.63378906607627861</v>
      </c>
    </row>
    <row r="539" spans="1:10">
      <c r="A539" s="6" t="s">
        <v>172</v>
      </c>
      <c r="B539" s="7">
        <v>44734</v>
      </c>
      <c r="C539" s="6" t="s">
        <v>160</v>
      </c>
      <c r="D539" s="6" t="s">
        <v>2</v>
      </c>
      <c r="E539" s="6" t="s">
        <v>5</v>
      </c>
      <c r="F539" s="6">
        <v>118941</v>
      </c>
      <c r="G539" s="6">
        <v>1750</v>
      </c>
      <c r="H539" s="12">
        <v>50110.000010000003</v>
      </c>
      <c r="I539" s="6">
        <v>250</v>
      </c>
      <c r="J539" s="11">
        <f>Análises!F539</f>
        <v>0.4967072437643768</v>
      </c>
    </row>
    <row r="540" spans="1:10">
      <c r="A540" s="6" t="s">
        <v>172</v>
      </c>
      <c r="B540" s="7">
        <v>44735</v>
      </c>
      <c r="C540" s="6" t="s">
        <v>160</v>
      </c>
      <c r="D540" s="6" t="s">
        <v>2</v>
      </c>
      <c r="E540" s="6" t="s">
        <v>5</v>
      </c>
      <c r="F540" s="6">
        <v>221576</v>
      </c>
      <c r="G540" s="6">
        <v>2350</v>
      </c>
      <c r="H540" s="12">
        <v>66790.000680000012</v>
      </c>
      <c r="I540" s="6">
        <v>350</v>
      </c>
      <c r="J540" s="11">
        <f>Análises!F540</f>
        <v>0.57209161447788115</v>
      </c>
    </row>
    <row r="541" spans="1:10">
      <c r="A541" s="6" t="s">
        <v>172</v>
      </c>
      <c r="B541" s="7">
        <v>44736</v>
      </c>
      <c r="C541" s="6" t="s">
        <v>160</v>
      </c>
      <c r="D541" s="6" t="s">
        <v>2</v>
      </c>
      <c r="E541" s="6" t="s">
        <v>5</v>
      </c>
      <c r="F541" s="6">
        <v>8341</v>
      </c>
      <c r="G541" s="6">
        <v>50</v>
      </c>
      <c r="H541" s="12">
        <v>1639.999986</v>
      </c>
      <c r="I541" s="6">
        <v>150</v>
      </c>
      <c r="J541" s="11">
        <f>Análises!F541</f>
        <v>26.439024624479476</v>
      </c>
    </row>
    <row r="542" spans="1:10">
      <c r="A542" s="6" t="s">
        <v>172</v>
      </c>
      <c r="B542" s="7">
        <v>44737</v>
      </c>
      <c r="C542" s="6" t="s">
        <v>160</v>
      </c>
      <c r="D542" s="6" t="s">
        <v>2</v>
      </c>
      <c r="E542" s="6" t="s">
        <v>5</v>
      </c>
      <c r="F542" s="6">
        <v>120335</v>
      </c>
      <c r="G542" s="6">
        <v>1300</v>
      </c>
      <c r="H542" s="12">
        <v>36229.999300000003</v>
      </c>
      <c r="I542" s="6">
        <v>200</v>
      </c>
      <c r="J542" s="11">
        <f>Análises!F542</f>
        <v>0.656086148475305</v>
      </c>
    </row>
    <row r="543" spans="1:10">
      <c r="A543" s="6" t="s">
        <v>172</v>
      </c>
      <c r="B543" s="7">
        <v>44738</v>
      </c>
      <c r="C543" s="6" t="s">
        <v>160</v>
      </c>
      <c r="D543" s="6" t="s">
        <v>2</v>
      </c>
      <c r="E543" s="6" t="s">
        <v>5</v>
      </c>
      <c r="F543" s="6">
        <v>182098</v>
      </c>
      <c r="G543" s="6">
        <v>2000</v>
      </c>
      <c r="H543" s="12">
        <v>62869.999889999999</v>
      </c>
      <c r="I543" s="6">
        <v>50</v>
      </c>
      <c r="J543" s="11">
        <f>Análises!F543</f>
        <v>-0.76141243794743707</v>
      </c>
    </row>
    <row r="544" spans="1:10">
      <c r="A544" s="6" t="s">
        <v>172</v>
      </c>
      <c r="B544" s="7">
        <v>44739</v>
      </c>
      <c r="C544" s="6" t="s">
        <v>160</v>
      </c>
      <c r="D544" s="6" t="s">
        <v>2</v>
      </c>
      <c r="E544" s="6" t="s">
        <v>5</v>
      </c>
      <c r="F544" s="6">
        <v>227473</v>
      </c>
      <c r="G544" s="6">
        <v>2600</v>
      </c>
      <c r="H544" s="12">
        <v>71580.000520000001</v>
      </c>
      <c r="I544" s="6">
        <v>0</v>
      </c>
      <c r="J544" s="11">
        <f>Análises!F544</f>
        <v>-1</v>
      </c>
    </row>
    <row r="545" spans="1:10">
      <c r="A545" s="6" t="s">
        <v>172</v>
      </c>
      <c r="B545" s="7">
        <v>44740</v>
      </c>
      <c r="C545" s="6" t="s">
        <v>160</v>
      </c>
      <c r="D545" s="6" t="s">
        <v>2</v>
      </c>
      <c r="E545" s="6" t="s">
        <v>5</v>
      </c>
      <c r="F545" s="6">
        <v>1050947</v>
      </c>
      <c r="G545" s="6">
        <v>11500</v>
      </c>
      <c r="H545" s="12">
        <v>350509.99569999997</v>
      </c>
      <c r="I545" s="6">
        <v>150</v>
      </c>
      <c r="J545" s="11">
        <f>Análises!F545</f>
        <v>-0.87161564419830329</v>
      </c>
    </row>
    <row r="546" spans="1:10">
      <c r="A546" s="6" t="s">
        <v>172</v>
      </c>
      <c r="B546" s="7">
        <v>44741</v>
      </c>
      <c r="C546" s="6" t="s">
        <v>160</v>
      </c>
      <c r="D546" s="6" t="s">
        <v>2</v>
      </c>
      <c r="E546" s="6" t="s">
        <v>5</v>
      </c>
      <c r="F546" s="6">
        <v>720859</v>
      </c>
      <c r="G546" s="6">
        <v>8100</v>
      </c>
      <c r="H546" s="12">
        <v>213689.99859999999</v>
      </c>
      <c r="I546" s="6">
        <v>700</v>
      </c>
      <c r="J546" s="11">
        <f>Análises!F546</f>
        <v>-1.7267998615635688E-2</v>
      </c>
    </row>
    <row r="547" spans="1:10">
      <c r="A547" s="6" t="s">
        <v>172</v>
      </c>
      <c r="B547" s="7">
        <v>44742</v>
      </c>
      <c r="C547" s="6" t="s">
        <v>160</v>
      </c>
      <c r="D547" s="6" t="s">
        <v>2</v>
      </c>
      <c r="E547" s="6" t="s">
        <v>5</v>
      </c>
      <c r="F547" s="6">
        <v>41111</v>
      </c>
      <c r="G547" s="6">
        <v>400</v>
      </c>
      <c r="H547" s="12">
        <v>10960.00016</v>
      </c>
      <c r="I547" s="6">
        <v>100</v>
      </c>
      <c r="J547" s="11">
        <f>Análises!F547</f>
        <v>1.7372262374127558</v>
      </c>
    </row>
    <row r="548" spans="1:10">
      <c r="A548" s="6" t="s">
        <v>172</v>
      </c>
      <c r="B548" s="7">
        <v>44743</v>
      </c>
      <c r="C548" s="6" t="s">
        <v>160</v>
      </c>
      <c r="D548" s="6" t="s">
        <v>2</v>
      </c>
      <c r="E548" s="6" t="s">
        <v>5</v>
      </c>
      <c r="F548" s="6">
        <v>148616</v>
      </c>
      <c r="G548" s="6">
        <v>1250</v>
      </c>
      <c r="H548" s="12">
        <v>37399.999620000002</v>
      </c>
      <c r="I548" s="6">
        <v>350</v>
      </c>
      <c r="J548" s="11">
        <f>Análises!F548</f>
        <v>1.8074866595413082</v>
      </c>
    </row>
    <row r="549" spans="1:10">
      <c r="A549" s="6" t="s">
        <v>172</v>
      </c>
      <c r="B549" s="7">
        <v>44744</v>
      </c>
      <c r="C549" s="6" t="s">
        <v>160</v>
      </c>
      <c r="D549" s="6" t="s">
        <v>2</v>
      </c>
      <c r="E549" s="6" t="s">
        <v>5</v>
      </c>
      <c r="F549" s="6">
        <v>707260</v>
      </c>
      <c r="G549" s="6">
        <v>6750</v>
      </c>
      <c r="H549" s="12">
        <v>210820.00279999999</v>
      </c>
      <c r="I549" s="6">
        <v>1050</v>
      </c>
      <c r="J549" s="11">
        <f>Análises!F549</f>
        <v>0.49416561908896822</v>
      </c>
    </row>
    <row r="550" spans="1:10">
      <c r="A550" s="6" t="s">
        <v>172</v>
      </c>
      <c r="B550" s="7">
        <v>44745</v>
      </c>
      <c r="C550" s="6" t="s">
        <v>160</v>
      </c>
      <c r="D550" s="6" t="s">
        <v>2</v>
      </c>
      <c r="E550" s="6" t="s">
        <v>5</v>
      </c>
      <c r="F550" s="6">
        <v>139596</v>
      </c>
      <c r="G550" s="6">
        <v>1300</v>
      </c>
      <c r="H550" s="12">
        <v>42410.000319999999</v>
      </c>
      <c r="I550" s="6">
        <v>100</v>
      </c>
      <c r="J550" s="11">
        <f>Análises!F550</f>
        <v>-0.29261967051076881</v>
      </c>
    </row>
    <row r="551" spans="1:10">
      <c r="A551" s="6" t="s">
        <v>172</v>
      </c>
      <c r="B551" s="7">
        <v>44746</v>
      </c>
      <c r="C551" s="6" t="s">
        <v>160</v>
      </c>
      <c r="D551" s="6" t="s">
        <v>2</v>
      </c>
      <c r="E551" s="6" t="s">
        <v>5</v>
      </c>
      <c r="F551" s="6">
        <v>105399</v>
      </c>
      <c r="G551" s="6">
        <v>1100</v>
      </c>
      <c r="H551" s="12">
        <v>33199.999329999999</v>
      </c>
      <c r="I551" s="6">
        <v>150</v>
      </c>
      <c r="J551" s="11">
        <f>Análises!F551</f>
        <v>0.35542171410037804</v>
      </c>
    </row>
    <row r="552" spans="1:10">
      <c r="A552" s="6" t="s">
        <v>172</v>
      </c>
      <c r="B552" s="7">
        <v>44747</v>
      </c>
      <c r="C552" s="6" t="s">
        <v>160</v>
      </c>
      <c r="D552" s="6" t="s">
        <v>2</v>
      </c>
      <c r="E552" s="6" t="s">
        <v>5</v>
      </c>
      <c r="F552" s="6">
        <v>222378</v>
      </c>
      <c r="G552" s="6">
        <v>2500</v>
      </c>
      <c r="H552" s="12">
        <v>72910.001040000003</v>
      </c>
      <c r="I552" s="6">
        <v>0</v>
      </c>
      <c r="J552" s="11">
        <f>Análises!F552</f>
        <v>-1</v>
      </c>
    </row>
    <row r="553" spans="1:10">
      <c r="A553" s="6" t="s">
        <v>172</v>
      </c>
      <c r="B553" s="7">
        <v>44748</v>
      </c>
      <c r="C553" s="6" t="s">
        <v>160</v>
      </c>
      <c r="D553" s="6" t="s">
        <v>2</v>
      </c>
      <c r="E553" s="6" t="s">
        <v>5</v>
      </c>
      <c r="F553" s="6">
        <v>975792</v>
      </c>
      <c r="G553" s="6">
        <v>10500</v>
      </c>
      <c r="H553" s="12">
        <v>293880.00109999999</v>
      </c>
      <c r="I553" s="6">
        <v>500</v>
      </c>
      <c r="J553" s="11">
        <f>Análises!F553</f>
        <v>-0.48958758868059632</v>
      </c>
    </row>
    <row r="554" spans="1:10">
      <c r="A554" s="6" t="s">
        <v>172</v>
      </c>
      <c r="B554" s="7">
        <v>44749</v>
      </c>
      <c r="C554" s="6" t="s">
        <v>160</v>
      </c>
      <c r="D554" s="6" t="s">
        <v>2</v>
      </c>
      <c r="E554" s="6" t="s">
        <v>5</v>
      </c>
      <c r="F554" s="6">
        <v>579150</v>
      </c>
      <c r="G554" s="6">
        <v>6250</v>
      </c>
      <c r="H554" s="12">
        <v>167049.99970000001</v>
      </c>
      <c r="I554" s="6">
        <v>300</v>
      </c>
      <c r="J554" s="11">
        <f>Análises!F554</f>
        <v>-0.46123914898755913</v>
      </c>
    </row>
    <row r="555" spans="1:10">
      <c r="A555" s="6" t="s">
        <v>172</v>
      </c>
      <c r="B555" s="7">
        <v>44750</v>
      </c>
      <c r="C555" s="6" t="s">
        <v>160</v>
      </c>
      <c r="D555" s="6" t="s">
        <v>2</v>
      </c>
      <c r="E555" s="6" t="s">
        <v>5</v>
      </c>
      <c r="F555" s="6">
        <v>449588</v>
      </c>
      <c r="G555" s="6">
        <v>4050</v>
      </c>
      <c r="H555" s="12">
        <v>123800.00099999999</v>
      </c>
      <c r="I555" s="6">
        <v>450</v>
      </c>
      <c r="J555" s="11">
        <f>Análises!F555</f>
        <v>9.0468488768429098E-2</v>
      </c>
    </row>
    <row r="556" spans="1:10">
      <c r="A556" s="6" t="s">
        <v>172</v>
      </c>
      <c r="B556" s="7">
        <v>44751</v>
      </c>
      <c r="C556" s="6" t="s">
        <v>160</v>
      </c>
      <c r="D556" s="6" t="s">
        <v>2</v>
      </c>
      <c r="E556" s="6" t="s">
        <v>5</v>
      </c>
      <c r="F556" s="6">
        <v>318157</v>
      </c>
      <c r="G556" s="6">
        <v>2800</v>
      </c>
      <c r="H556" s="12">
        <v>85700.001959999994</v>
      </c>
      <c r="I556" s="6">
        <v>0</v>
      </c>
      <c r="J556" s="11">
        <f>Análises!F556</f>
        <v>-1</v>
      </c>
    </row>
    <row r="557" spans="1:10">
      <c r="A557" s="6" t="s">
        <v>172</v>
      </c>
      <c r="B557" s="7">
        <v>44752</v>
      </c>
      <c r="C557" s="6" t="s">
        <v>160</v>
      </c>
      <c r="D557" s="6" t="s">
        <v>2</v>
      </c>
      <c r="E557" s="6" t="s">
        <v>5</v>
      </c>
      <c r="F557" s="6">
        <v>196967</v>
      </c>
      <c r="G557" s="6">
        <v>2150</v>
      </c>
      <c r="H557" s="12">
        <v>65179.999710000004</v>
      </c>
      <c r="I557" s="6">
        <v>250</v>
      </c>
      <c r="J557" s="11">
        <f>Análises!F557</f>
        <v>0.15065971668750097</v>
      </c>
    </row>
    <row r="558" spans="1:10">
      <c r="A558" s="6" t="s">
        <v>172</v>
      </c>
      <c r="B558" s="7">
        <v>44753</v>
      </c>
      <c r="C558" s="6" t="s">
        <v>160</v>
      </c>
      <c r="D558" s="6" t="s">
        <v>2</v>
      </c>
      <c r="E558" s="6" t="s">
        <v>5</v>
      </c>
      <c r="F558" s="6">
        <v>158298</v>
      </c>
      <c r="G558" s="6">
        <v>1850</v>
      </c>
      <c r="H558" s="12">
        <v>46430.000070000002</v>
      </c>
      <c r="I558" s="6">
        <v>350</v>
      </c>
      <c r="J558" s="11">
        <f>Análises!F558</f>
        <v>1.2614688744711862</v>
      </c>
    </row>
    <row r="559" spans="1:10">
      <c r="A559" s="6" t="s">
        <v>172</v>
      </c>
      <c r="B559" s="7">
        <v>44754</v>
      </c>
      <c r="C559" s="6" t="s">
        <v>160</v>
      </c>
      <c r="D559" s="6" t="s">
        <v>2</v>
      </c>
      <c r="E559" s="6" t="s">
        <v>5</v>
      </c>
      <c r="F559" s="6">
        <v>222739</v>
      </c>
      <c r="G559" s="6">
        <v>2750</v>
      </c>
      <c r="H559" s="12">
        <v>68559.999590000007</v>
      </c>
      <c r="I559" s="6">
        <v>300</v>
      </c>
      <c r="J559" s="11">
        <f>Análises!F559</f>
        <v>0.31271879431468347</v>
      </c>
    </row>
    <row r="560" spans="1:10">
      <c r="A560" s="6" t="s">
        <v>172</v>
      </c>
      <c r="B560" s="7">
        <v>44755</v>
      </c>
      <c r="C560" s="6" t="s">
        <v>160</v>
      </c>
      <c r="D560" s="6" t="s">
        <v>2</v>
      </c>
      <c r="E560" s="6" t="s">
        <v>5</v>
      </c>
      <c r="F560" s="6">
        <v>20780</v>
      </c>
      <c r="G560" s="6">
        <v>250</v>
      </c>
      <c r="H560" s="12">
        <v>8189.9999379999999</v>
      </c>
      <c r="I560" s="6">
        <v>0</v>
      </c>
      <c r="J560" s="11">
        <f>Análises!F560</f>
        <v>-1</v>
      </c>
    </row>
    <row r="561" spans="1:10">
      <c r="A561" s="6" t="s">
        <v>172</v>
      </c>
      <c r="B561" s="7">
        <v>44756</v>
      </c>
      <c r="C561" s="6" t="s">
        <v>160</v>
      </c>
      <c r="D561" s="6" t="s">
        <v>2</v>
      </c>
      <c r="E561" s="6" t="s">
        <v>5</v>
      </c>
      <c r="F561" s="6">
        <v>128616</v>
      </c>
      <c r="G561" s="6">
        <v>1650</v>
      </c>
      <c r="H561" s="12">
        <v>48549.999479999999</v>
      </c>
      <c r="I561" s="6">
        <v>150</v>
      </c>
      <c r="J561" s="11">
        <f>Análises!F561</f>
        <v>-7.3120484408293523E-2</v>
      </c>
    </row>
    <row r="562" spans="1:10">
      <c r="A562" s="6" t="s">
        <v>172</v>
      </c>
      <c r="B562" s="7">
        <v>44757</v>
      </c>
      <c r="C562" s="6" t="s">
        <v>160</v>
      </c>
      <c r="D562" s="6" t="s">
        <v>2</v>
      </c>
      <c r="E562" s="6" t="s">
        <v>5</v>
      </c>
      <c r="F562" s="6">
        <v>72982</v>
      </c>
      <c r="G562" s="6">
        <v>550</v>
      </c>
      <c r="H562" s="12">
        <v>15049.999949999999</v>
      </c>
      <c r="I562" s="6">
        <v>0</v>
      </c>
      <c r="J562" s="11">
        <f>Análises!F562</f>
        <v>-1</v>
      </c>
    </row>
    <row r="563" spans="1:10">
      <c r="A563" s="6" t="s">
        <v>172</v>
      </c>
      <c r="B563" s="7">
        <v>44758</v>
      </c>
      <c r="C563" s="6" t="s">
        <v>160</v>
      </c>
      <c r="D563" s="6" t="s">
        <v>2</v>
      </c>
      <c r="E563" s="6" t="s">
        <v>5</v>
      </c>
      <c r="F563" s="6">
        <v>975884</v>
      </c>
      <c r="G563" s="6">
        <v>8350</v>
      </c>
      <c r="H563" s="12">
        <v>237319.9975</v>
      </c>
      <c r="I563" s="6">
        <v>650</v>
      </c>
      <c r="J563" s="11">
        <f>Análises!F563</f>
        <v>-0.17832461632315666</v>
      </c>
    </row>
    <row r="564" spans="1:10">
      <c r="A564" s="6" t="s">
        <v>172</v>
      </c>
      <c r="B564" s="7">
        <v>44759</v>
      </c>
      <c r="C564" s="6" t="s">
        <v>160</v>
      </c>
      <c r="D564" s="6" t="s">
        <v>2</v>
      </c>
      <c r="E564" s="6" t="s">
        <v>5</v>
      </c>
      <c r="F564" s="6">
        <v>245607</v>
      </c>
      <c r="G564" s="6">
        <v>1650</v>
      </c>
      <c r="H564" s="12">
        <v>47879.999519999998</v>
      </c>
      <c r="I564" s="6">
        <v>300</v>
      </c>
      <c r="J564" s="11">
        <f>Análises!F564</f>
        <v>0.87969926696440381</v>
      </c>
    </row>
    <row r="565" spans="1:10">
      <c r="A565" s="6" t="s">
        <v>172</v>
      </c>
      <c r="B565" s="7">
        <v>44760</v>
      </c>
      <c r="C565" s="6" t="s">
        <v>160</v>
      </c>
      <c r="D565" s="6" t="s">
        <v>2</v>
      </c>
      <c r="E565" s="6" t="s">
        <v>5</v>
      </c>
      <c r="F565" s="6">
        <v>485369</v>
      </c>
      <c r="G565" s="6">
        <v>5700</v>
      </c>
      <c r="H565" s="12">
        <v>164640.00150000001</v>
      </c>
      <c r="I565" s="6">
        <v>250</v>
      </c>
      <c r="J565" s="11">
        <f>Análises!F565</f>
        <v>-0.54446064554973905</v>
      </c>
    </row>
    <row r="566" spans="1:10">
      <c r="A566" s="6" t="s">
        <v>172</v>
      </c>
      <c r="B566" s="7">
        <v>44761</v>
      </c>
      <c r="C566" s="6" t="s">
        <v>160</v>
      </c>
      <c r="D566" s="6" t="s">
        <v>2</v>
      </c>
      <c r="E566" s="6" t="s">
        <v>5</v>
      </c>
      <c r="F566" s="6">
        <v>866355</v>
      </c>
      <c r="G566" s="6">
        <v>6950</v>
      </c>
      <c r="H566" s="12">
        <v>200829.99609999999</v>
      </c>
      <c r="I566" s="6">
        <v>750</v>
      </c>
      <c r="J566" s="11">
        <f>Análises!F566</f>
        <v>0.1203505669938118</v>
      </c>
    </row>
    <row r="567" spans="1:10">
      <c r="A567" s="6" t="s">
        <v>172</v>
      </c>
      <c r="B567" s="7">
        <v>44762</v>
      </c>
      <c r="C567" s="6" t="s">
        <v>160</v>
      </c>
      <c r="D567" s="6" t="s">
        <v>2</v>
      </c>
      <c r="E567" s="6" t="s">
        <v>5</v>
      </c>
      <c r="F567" s="6">
        <v>502710</v>
      </c>
      <c r="G567" s="6">
        <v>3600</v>
      </c>
      <c r="H567" s="12">
        <v>105219.9969</v>
      </c>
      <c r="I567" s="6">
        <v>650</v>
      </c>
      <c r="J567" s="11">
        <f>Análises!F567</f>
        <v>0.85325989113386869</v>
      </c>
    </row>
    <row r="568" spans="1:10">
      <c r="A568" s="6" t="s">
        <v>172</v>
      </c>
      <c r="B568" s="7">
        <v>44763</v>
      </c>
      <c r="C568" s="6" t="s">
        <v>160</v>
      </c>
      <c r="D568" s="6" t="s">
        <v>2</v>
      </c>
      <c r="E568" s="6" t="s">
        <v>5</v>
      </c>
      <c r="F568" s="6">
        <v>475184</v>
      </c>
      <c r="G568" s="6">
        <v>4400</v>
      </c>
      <c r="H568" s="12">
        <v>127320.0028</v>
      </c>
      <c r="I568" s="6">
        <v>250</v>
      </c>
      <c r="J568" s="11">
        <f>Análises!F568</f>
        <v>-0.41093309495277519</v>
      </c>
    </row>
    <row r="569" spans="1:10">
      <c r="A569" s="6" t="s">
        <v>172</v>
      </c>
      <c r="B569" s="7">
        <v>44764</v>
      </c>
      <c r="C569" s="6" t="s">
        <v>160</v>
      </c>
      <c r="D569" s="6" t="s">
        <v>2</v>
      </c>
      <c r="E569" s="6" t="s">
        <v>5</v>
      </c>
      <c r="F569" s="6">
        <v>357401</v>
      </c>
      <c r="G569" s="6">
        <v>2350</v>
      </c>
      <c r="H569" s="12">
        <v>68670.000079999998</v>
      </c>
      <c r="I569" s="6">
        <v>400</v>
      </c>
      <c r="J569" s="11">
        <f>Análises!F569</f>
        <v>0.74748798398428662</v>
      </c>
    </row>
    <row r="570" spans="1:10">
      <c r="A570" s="6" t="s">
        <v>172</v>
      </c>
      <c r="B570" s="7">
        <v>44765</v>
      </c>
      <c r="C570" s="6" t="s">
        <v>160</v>
      </c>
      <c r="D570" s="6" t="s">
        <v>2</v>
      </c>
      <c r="E570" s="6" t="s">
        <v>5</v>
      </c>
      <c r="F570" s="6">
        <v>99810</v>
      </c>
      <c r="G570" s="6">
        <v>700</v>
      </c>
      <c r="H570" s="12">
        <v>20050.000189999999</v>
      </c>
      <c r="I570" s="6">
        <v>50</v>
      </c>
      <c r="J570" s="11">
        <f>Análises!F570</f>
        <v>-0.25187033127903424</v>
      </c>
    </row>
    <row r="571" spans="1:10">
      <c r="A571" s="6" t="s">
        <v>172</v>
      </c>
      <c r="B571" s="7">
        <v>44766</v>
      </c>
      <c r="C571" s="6" t="s">
        <v>160</v>
      </c>
      <c r="D571" s="6" t="s">
        <v>2</v>
      </c>
      <c r="E571" s="6" t="s">
        <v>5</v>
      </c>
      <c r="F571" s="6">
        <v>81569</v>
      </c>
      <c r="G571" s="6">
        <v>300</v>
      </c>
      <c r="H571" s="12">
        <v>9409.9999669999997</v>
      </c>
      <c r="I571" s="6">
        <v>300</v>
      </c>
      <c r="J571" s="11">
        <f>Análises!F571</f>
        <v>8.56429333853578</v>
      </c>
    </row>
    <row r="572" spans="1:10">
      <c r="A572" s="6" t="s">
        <v>172</v>
      </c>
      <c r="B572" s="7">
        <v>44767</v>
      </c>
      <c r="C572" s="6" t="s">
        <v>160</v>
      </c>
      <c r="D572" s="6" t="s">
        <v>2</v>
      </c>
      <c r="E572" s="6" t="s">
        <v>5</v>
      </c>
      <c r="F572" s="6">
        <v>441192</v>
      </c>
      <c r="G572" s="6">
        <v>2650</v>
      </c>
      <c r="H572" s="12">
        <v>77599.999790000002</v>
      </c>
      <c r="I572" s="6">
        <v>300</v>
      </c>
      <c r="J572" s="11">
        <f>Análises!F572</f>
        <v>0.15979381757160696</v>
      </c>
    </row>
    <row r="573" spans="1:10">
      <c r="A573" s="6" t="s">
        <v>172</v>
      </c>
      <c r="B573" s="7">
        <v>44768</v>
      </c>
      <c r="C573" s="6" t="s">
        <v>160</v>
      </c>
      <c r="D573" s="6" t="s">
        <v>2</v>
      </c>
      <c r="E573" s="6" t="s">
        <v>5</v>
      </c>
      <c r="F573" s="6">
        <v>90470</v>
      </c>
      <c r="G573" s="6">
        <v>550</v>
      </c>
      <c r="H573" s="12">
        <v>16730.000019999999</v>
      </c>
      <c r="I573" s="6">
        <v>150</v>
      </c>
      <c r="J573" s="11">
        <f>Análises!F573</f>
        <v>1.6897788371909399</v>
      </c>
    </row>
    <row r="574" spans="1:10">
      <c r="A574" s="6" t="s">
        <v>173</v>
      </c>
      <c r="B574" s="7">
        <v>44769</v>
      </c>
      <c r="C574" s="6" t="s">
        <v>160</v>
      </c>
      <c r="D574" s="6" t="s">
        <v>2</v>
      </c>
      <c r="E574" s="6" t="s">
        <v>1</v>
      </c>
      <c r="F574" s="6">
        <v>98066</v>
      </c>
      <c r="G574" s="6">
        <v>450</v>
      </c>
      <c r="H574" s="12">
        <v>16150.000099999999</v>
      </c>
      <c r="I574" s="6">
        <v>450</v>
      </c>
      <c r="J574" s="11">
        <f>Análises!F574</f>
        <v>7.359133075175647</v>
      </c>
    </row>
    <row r="575" spans="1:10">
      <c r="A575" s="6" t="s">
        <v>173</v>
      </c>
      <c r="B575" s="7">
        <v>44770</v>
      </c>
      <c r="C575" s="6" t="s">
        <v>160</v>
      </c>
      <c r="D575" s="6" t="s">
        <v>2</v>
      </c>
      <c r="E575" s="6" t="s">
        <v>1</v>
      </c>
      <c r="F575" s="6">
        <v>770749</v>
      </c>
      <c r="G575" s="6">
        <v>5000</v>
      </c>
      <c r="H575" s="12">
        <v>189129.99840000001</v>
      </c>
      <c r="I575" s="6">
        <v>1150</v>
      </c>
      <c r="J575" s="11">
        <f>Análises!F575</f>
        <v>0.82414213989651242</v>
      </c>
    </row>
    <row r="576" spans="1:10">
      <c r="A576" s="6" t="s">
        <v>173</v>
      </c>
      <c r="B576" s="7">
        <v>44771</v>
      </c>
      <c r="C576" s="6" t="s">
        <v>160</v>
      </c>
      <c r="D576" s="6" t="s">
        <v>2</v>
      </c>
      <c r="E576" s="6" t="s">
        <v>1</v>
      </c>
      <c r="F576" s="6">
        <v>52553</v>
      </c>
      <c r="G576" s="6">
        <v>250</v>
      </c>
      <c r="H576" s="12">
        <v>8529.999851999999</v>
      </c>
      <c r="I576" s="6">
        <v>450</v>
      </c>
      <c r="J576" s="11">
        <f>Análises!F576</f>
        <v>14.826494999099799</v>
      </c>
    </row>
    <row r="577" spans="1:10">
      <c r="A577" s="6" t="s">
        <v>173</v>
      </c>
      <c r="B577" s="7">
        <v>44772</v>
      </c>
      <c r="C577" s="6" t="s">
        <v>160</v>
      </c>
      <c r="D577" s="6" t="s">
        <v>2</v>
      </c>
      <c r="E577" s="6" t="s">
        <v>1</v>
      </c>
      <c r="F577" s="6">
        <v>362296</v>
      </c>
      <c r="G577" s="6">
        <v>1950</v>
      </c>
      <c r="H577" s="12">
        <v>67770.00129</v>
      </c>
      <c r="I577" s="6">
        <v>900</v>
      </c>
      <c r="J577" s="11">
        <f>Análises!F577</f>
        <v>2.9840636691833833</v>
      </c>
    </row>
    <row r="578" spans="1:10">
      <c r="A578" s="6" t="s">
        <v>173</v>
      </c>
      <c r="B578" s="7">
        <v>44773</v>
      </c>
      <c r="C578" s="6" t="s">
        <v>160</v>
      </c>
      <c r="D578" s="6" t="s">
        <v>2</v>
      </c>
      <c r="E578" s="6" t="s">
        <v>1</v>
      </c>
      <c r="F578" s="6">
        <v>427729</v>
      </c>
      <c r="G578" s="6">
        <v>2500</v>
      </c>
      <c r="H578" s="12">
        <v>96899.998900000006</v>
      </c>
      <c r="I578" s="6">
        <v>600</v>
      </c>
      <c r="J578" s="11">
        <f>Análises!F578</f>
        <v>0.85758516040602339</v>
      </c>
    </row>
    <row r="579" spans="1:10">
      <c r="A579" s="6" t="s">
        <v>173</v>
      </c>
      <c r="B579" s="7">
        <v>44774</v>
      </c>
      <c r="C579" s="6" t="s">
        <v>160</v>
      </c>
      <c r="D579" s="6" t="s">
        <v>2</v>
      </c>
      <c r="E579" s="6" t="s">
        <v>1</v>
      </c>
      <c r="F579" s="6">
        <v>180351</v>
      </c>
      <c r="G579" s="6">
        <v>1050</v>
      </c>
      <c r="H579" s="12">
        <v>37130.000110000001</v>
      </c>
      <c r="I579" s="6">
        <v>550</v>
      </c>
      <c r="J579" s="11">
        <f>Análises!F579</f>
        <v>3.4438459335086709</v>
      </c>
    </row>
    <row r="580" spans="1:10">
      <c r="A580" s="6" t="s">
        <v>173</v>
      </c>
      <c r="B580" s="7">
        <v>44775</v>
      </c>
      <c r="C580" s="6" t="s">
        <v>160</v>
      </c>
      <c r="D580" s="6" t="s">
        <v>2</v>
      </c>
      <c r="E580" s="6" t="s">
        <v>1</v>
      </c>
      <c r="F580" s="6">
        <v>187329</v>
      </c>
      <c r="G580" s="6">
        <v>1450</v>
      </c>
      <c r="H580" s="12">
        <v>53159.999609999999</v>
      </c>
      <c r="I580" s="6">
        <v>550</v>
      </c>
      <c r="J580" s="11">
        <f>Análises!F580</f>
        <v>2.1038374945541127</v>
      </c>
    </row>
    <row r="581" spans="1:10">
      <c r="A581" s="6" t="s">
        <v>173</v>
      </c>
      <c r="B581" s="7">
        <v>44776</v>
      </c>
      <c r="C581" s="6" t="s">
        <v>160</v>
      </c>
      <c r="D581" s="6" t="s">
        <v>2</v>
      </c>
      <c r="E581" s="6" t="s">
        <v>1</v>
      </c>
      <c r="F581" s="6">
        <v>782894</v>
      </c>
      <c r="G581" s="6">
        <v>5900</v>
      </c>
      <c r="H581" s="12">
        <v>192929.99950000001</v>
      </c>
      <c r="I581" s="6">
        <v>750</v>
      </c>
      <c r="J581" s="11">
        <f>Análises!F581</f>
        <v>0.16622609538751382</v>
      </c>
    </row>
    <row r="582" spans="1:10">
      <c r="A582" s="6" t="s">
        <v>173</v>
      </c>
      <c r="B582" s="7">
        <v>44777</v>
      </c>
      <c r="C582" s="6" t="s">
        <v>160</v>
      </c>
      <c r="D582" s="6" t="s">
        <v>2</v>
      </c>
      <c r="E582" s="6" t="s">
        <v>1</v>
      </c>
      <c r="F582" s="6">
        <v>1206533</v>
      </c>
      <c r="G582" s="6">
        <v>6400</v>
      </c>
      <c r="H582" s="12">
        <v>236119.9988</v>
      </c>
      <c r="I582" s="6">
        <v>1600</v>
      </c>
      <c r="J582" s="11">
        <f>Análises!F582</f>
        <v>1.0328646554270609</v>
      </c>
    </row>
    <row r="583" spans="1:10">
      <c r="A583" s="6" t="s">
        <v>173</v>
      </c>
      <c r="B583" s="7">
        <v>44778</v>
      </c>
      <c r="C583" s="6" t="s">
        <v>160</v>
      </c>
      <c r="D583" s="6" t="s">
        <v>2</v>
      </c>
      <c r="E583" s="6" t="s">
        <v>1</v>
      </c>
      <c r="F583" s="6">
        <v>84494</v>
      </c>
      <c r="G583" s="6">
        <v>350</v>
      </c>
      <c r="H583" s="12">
        <v>12570.000169999999</v>
      </c>
      <c r="I583" s="6">
        <v>500</v>
      </c>
      <c r="J583" s="11">
        <f>Análises!F583</f>
        <v>10.933174062956278</v>
      </c>
    </row>
    <row r="584" spans="1:10">
      <c r="A584" s="6" t="s">
        <v>173</v>
      </c>
      <c r="B584" s="7">
        <v>44779</v>
      </c>
      <c r="C584" s="6" t="s">
        <v>160</v>
      </c>
      <c r="D584" s="6" t="s">
        <v>2</v>
      </c>
      <c r="E584" s="6" t="s">
        <v>1</v>
      </c>
      <c r="F584" s="6">
        <v>94257</v>
      </c>
      <c r="G584" s="6">
        <v>350</v>
      </c>
      <c r="H584" s="12">
        <v>12580.000399999999</v>
      </c>
      <c r="I584" s="6">
        <v>500</v>
      </c>
      <c r="J584" s="11">
        <f>Análises!F584</f>
        <v>10.923688015145057</v>
      </c>
    </row>
    <row r="585" spans="1:10">
      <c r="A585" s="6" t="s">
        <v>173</v>
      </c>
      <c r="B585" s="7">
        <v>44780</v>
      </c>
      <c r="C585" s="6" t="s">
        <v>160</v>
      </c>
      <c r="D585" s="6" t="s">
        <v>2</v>
      </c>
      <c r="E585" s="6" t="s">
        <v>1</v>
      </c>
      <c r="F585" s="6">
        <v>131060</v>
      </c>
      <c r="G585" s="6">
        <v>800</v>
      </c>
      <c r="H585" s="12">
        <v>28049.999589999999</v>
      </c>
      <c r="I585" s="6">
        <v>600</v>
      </c>
      <c r="J585" s="11">
        <f>Análises!F585</f>
        <v>5.417112393262606</v>
      </c>
    </row>
    <row r="586" spans="1:10">
      <c r="A586" s="6" t="s">
        <v>173</v>
      </c>
      <c r="B586" s="7">
        <v>44781</v>
      </c>
      <c r="C586" s="6" t="s">
        <v>160</v>
      </c>
      <c r="D586" s="6" t="s">
        <v>2</v>
      </c>
      <c r="E586" s="6" t="s">
        <v>1</v>
      </c>
      <c r="F586" s="6">
        <v>341603</v>
      </c>
      <c r="G586" s="6">
        <v>2500</v>
      </c>
      <c r="H586" s="12">
        <v>83480.001210000002</v>
      </c>
      <c r="I586" s="6">
        <v>700</v>
      </c>
      <c r="J586" s="11">
        <f>Análises!F586</f>
        <v>1.5155725557757211</v>
      </c>
    </row>
    <row r="587" spans="1:10">
      <c r="A587" s="6" t="s">
        <v>173</v>
      </c>
      <c r="B587" s="7">
        <v>44782</v>
      </c>
      <c r="C587" s="6" t="s">
        <v>160</v>
      </c>
      <c r="D587" s="6" t="s">
        <v>2</v>
      </c>
      <c r="E587" s="6" t="s">
        <v>1</v>
      </c>
      <c r="F587" s="6">
        <v>140749</v>
      </c>
      <c r="G587" s="6">
        <v>950</v>
      </c>
      <c r="H587" s="12">
        <v>30479.999899999999</v>
      </c>
      <c r="I587" s="6">
        <v>450</v>
      </c>
      <c r="J587" s="11">
        <f>Análises!F587</f>
        <v>3.429133872798996</v>
      </c>
    </row>
    <row r="588" spans="1:10">
      <c r="A588" s="6" t="s">
        <v>173</v>
      </c>
      <c r="B588" s="7">
        <v>44783</v>
      </c>
      <c r="C588" s="6" t="s">
        <v>160</v>
      </c>
      <c r="D588" s="6" t="s">
        <v>2</v>
      </c>
      <c r="E588" s="6" t="s">
        <v>1</v>
      </c>
      <c r="F588" s="6">
        <v>102525</v>
      </c>
      <c r="G588" s="6">
        <v>650</v>
      </c>
      <c r="H588" s="12">
        <v>20299.999830000001</v>
      </c>
      <c r="I588" s="6">
        <v>500</v>
      </c>
      <c r="J588" s="11">
        <f>Análises!F588</f>
        <v>6.3891626234560412</v>
      </c>
    </row>
    <row r="589" spans="1:10">
      <c r="A589" s="6" t="s">
        <v>173</v>
      </c>
      <c r="B589" s="7">
        <v>44784</v>
      </c>
      <c r="C589" s="6" t="s">
        <v>160</v>
      </c>
      <c r="D589" s="6" t="s">
        <v>2</v>
      </c>
      <c r="E589" s="6" t="s">
        <v>1</v>
      </c>
      <c r="F589" s="6">
        <v>447952</v>
      </c>
      <c r="G589" s="6">
        <v>3400</v>
      </c>
      <c r="H589" s="12">
        <v>131579.99830000001</v>
      </c>
      <c r="I589" s="6">
        <v>900</v>
      </c>
      <c r="J589" s="11">
        <f>Análises!F589</f>
        <v>1.0519836106427429</v>
      </c>
    </row>
    <row r="590" spans="1:10">
      <c r="A590" s="6" t="s">
        <v>173</v>
      </c>
      <c r="B590" s="7">
        <v>44785</v>
      </c>
      <c r="C590" s="6" t="s">
        <v>160</v>
      </c>
      <c r="D590" s="6" t="s">
        <v>2</v>
      </c>
      <c r="E590" s="6" t="s">
        <v>1</v>
      </c>
      <c r="F590" s="6">
        <v>76355</v>
      </c>
      <c r="G590" s="6">
        <v>450</v>
      </c>
      <c r="H590" s="12">
        <v>14629.999879999999</v>
      </c>
      <c r="I590" s="6">
        <v>500</v>
      </c>
      <c r="J590" s="11">
        <f>Análises!F590</f>
        <v>9.2529050738447456</v>
      </c>
    </row>
    <row r="591" spans="1:10">
      <c r="A591" s="6" t="s">
        <v>173</v>
      </c>
      <c r="B591" s="7">
        <v>44786</v>
      </c>
      <c r="C591" s="6" t="s">
        <v>160</v>
      </c>
      <c r="D591" s="6" t="s">
        <v>2</v>
      </c>
      <c r="E591" s="6" t="s">
        <v>1</v>
      </c>
      <c r="F591" s="6">
        <v>256598</v>
      </c>
      <c r="G591" s="6">
        <v>1900</v>
      </c>
      <c r="H591" s="12">
        <v>64469.999310000007</v>
      </c>
      <c r="I591" s="6">
        <v>800</v>
      </c>
      <c r="J591" s="11">
        <f>Análises!F591</f>
        <v>2.7226617429600832</v>
      </c>
    </row>
    <row r="592" spans="1:10">
      <c r="A592" s="6" t="s">
        <v>173</v>
      </c>
      <c r="B592" s="7">
        <v>44787</v>
      </c>
      <c r="C592" s="6" t="s">
        <v>160</v>
      </c>
      <c r="D592" s="6" t="s">
        <v>2</v>
      </c>
      <c r="E592" s="6" t="s">
        <v>1</v>
      </c>
      <c r="F592" s="6">
        <v>127476</v>
      </c>
      <c r="G592" s="6">
        <v>1050</v>
      </c>
      <c r="H592" s="12">
        <v>30150.00057</v>
      </c>
      <c r="I592" s="6">
        <v>600</v>
      </c>
      <c r="J592" s="11">
        <f>Análises!F592</f>
        <v>4.9701491408628522</v>
      </c>
    </row>
    <row r="593" spans="1:10">
      <c r="A593" s="6" t="s">
        <v>173</v>
      </c>
      <c r="B593" s="7">
        <v>44788</v>
      </c>
      <c r="C593" s="6" t="s">
        <v>160</v>
      </c>
      <c r="D593" s="6" t="s">
        <v>2</v>
      </c>
      <c r="E593" s="6" t="s">
        <v>1</v>
      </c>
      <c r="F593" s="6">
        <v>237603</v>
      </c>
      <c r="G593" s="6">
        <v>1850</v>
      </c>
      <c r="H593" s="12">
        <v>62250.000240000001</v>
      </c>
      <c r="I593" s="6">
        <v>700</v>
      </c>
      <c r="J593" s="11">
        <f>Análises!F593</f>
        <v>2.3734939628973728</v>
      </c>
    </row>
    <row r="594" spans="1:10">
      <c r="A594" s="6" t="s">
        <v>173</v>
      </c>
      <c r="B594" s="7">
        <v>44789</v>
      </c>
      <c r="C594" s="6" t="s">
        <v>160</v>
      </c>
      <c r="D594" s="6" t="s">
        <v>2</v>
      </c>
      <c r="E594" s="6" t="s">
        <v>1</v>
      </c>
      <c r="F594" s="6">
        <v>271091</v>
      </c>
      <c r="G594" s="6">
        <v>2100</v>
      </c>
      <c r="H594" s="12">
        <v>78039.999839999989</v>
      </c>
      <c r="I594" s="6">
        <v>600</v>
      </c>
      <c r="J594" s="11">
        <f>Análises!F594</f>
        <v>1.3065094870456373</v>
      </c>
    </row>
    <row r="595" spans="1:10">
      <c r="A595" s="6" t="s">
        <v>173</v>
      </c>
      <c r="B595" s="7">
        <v>44790</v>
      </c>
      <c r="C595" s="6" t="s">
        <v>160</v>
      </c>
      <c r="D595" s="6" t="s">
        <v>2</v>
      </c>
      <c r="E595" s="6" t="s">
        <v>1</v>
      </c>
      <c r="F595" s="6">
        <v>21743</v>
      </c>
      <c r="G595" s="6">
        <v>100</v>
      </c>
      <c r="H595" s="12">
        <v>3400.0000950000003</v>
      </c>
      <c r="I595" s="6">
        <v>450</v>
      </c>
      <c r="J595" s="11">
        <f>Análises!F595</f>
        <v>38.705881243512138</v>
      </c>
    </row>
    <row r="596" spans="1:10">
      <c r="A596" s="6" t="s">
        <v>173</v>
      </c>
      <c r="B596" s="7">
        <v>44791</v>
      </c>
      <c r="C596" s="6" t="s">
        <v>160</v>
      </c>
      <c r="D596" s="6" t="s">
        <v>2</v>
      </c>
      <c r="E596" s="6" t="s">
        <v>1</v>
      </c>
      <c r="F596" s="6">
        <v>88970</v>
      </c>
      <c r="G596" s="6">
        <v>500</v>
      </c>
      <c r="H596" s="12">
        <v>14830.000399999999</v>
      </c>
      <c r="I596" s="6">
        <v>500</v>
      </c>
      <c r="J596" s="11">
        <f>Análises!F596</f>
        <v>9.1146322288703399</v>
      </c>
    </row>
    <row r="597" spans="1:10">
      <c r="A597" s="6" t="s">
        <v>173</v>
      </c>
      <c r="B597" s="7">
        <v>44792</v>
      </c>
      <c r="C597" s="6" t="s">
        <v>160</v>
      </c>
      <c r="D597" s="6" t="s">
        <v>2</v>
      </c>
      <c r="E597" s="6" t="s">
        <v>1</v>
      </c>
      <c r="F597" s="6">
        <v>108362</v>
      </c>
      <c r="G597" s="6">
        <v>650</v>
      </c>
      <c r="H597" s="12">
        <v>22429.999830000001</v>
      </c>
      <c r="I597" s="6">
        <v>500</v>
      </c>
      <c r="J597" s="11">
        <f>Análises!F597</f>
        <v>5.6874721862180238</v>
      </c>
    </row>
    <row r="598" spans="1:10">
      <c r="A598" s="6" t="s">
        <v>173</v>
      </c>
      <c r="B598" s="7">
        <v>44793</v>
      </c>
      <c r="C598" s="6" t="s">
        <v>160</v>
      </c>
      <c r="D598" s="6" t="s">
        <v>2</v>
      </c>
      <c r="E598" s="6" t="s">
        <v>1</v>
      </c>
      <c r="F598" s="6">
        <v>188596</v>
      </c>
      <c r="G598" s="6">
        <v>1350</v>
      </c>
      <c r="H598" s="12">
        <v>44140.000339999999</v>
      </c>
      <c r="I598" s="6">
        <v>550</v>
      </c>
      <c r="J598" s="11">
        <f>Análises!F598</f>
        <v>2.73810599748627</v>
      </c>
    </row>
    <row r="599" spans="1:10">
      <c r="A599" s="6" t="s">
        <v>173</v>
      </c>
      <c r="B599" s="7">
        <v>44794</v>
      </c>
      <c r="C599" s="6" t="s">
        <v>160</v>
      </c>
      <c r="D599" s="6" t="s">
        <v>2</v>
      </c>
      <c r="E599" s="6" t="s">
        <v>1</v>
      </c>
      <c r="F599" s="6">
        <v>275080</v>
      </c>
      <c r="G599" s="6">
        <v>2150</v>
      </c>
      <c r="H599" s="12">
        <v>69659.999970000004</v>
      </c>
      <c r="I599" s="6">
        <v>750</v>
      </c>
      <c r="J599" s="11">
        <f>Análises!F599</f>
        <v>2.2299741615977493</v>
      </c>
    </row>
    <row r="600" spans="1:10">
      <c r="A600" s="6" t="s">
        <v>173</v>
      </c>
      <c r="B600" s="7">
        <v>44795</v>
      </c>
      <c r="C600" s="6" t="s">
        <v>160</v>
      </c>
      <c r="D600" s="6" t="s">
        <v>2</v>
      </c>
      <c r="E600" s="6" t="s">
        <v>1</v>
      </c>
      <c r="F600" s="6">
        <v>64647</v>
      </c>
      <c r="G600" s="6">
        <v>500</v>
      </c>
      <c r="H600" s="12">
        <v>16269.999980000002</v>
      </c>
      <c r="I600" s="6">
        <v>450</v>
      </c>
      <c r="J600" s="11">
        <f>Análises!F600</f>
        <v>7.2974800347848543</v>
      </c>
    </row>
    <row r="601" spans="1:10">
      <c r="A601" s="6" t="s">
        <v>173</v>
      </c>
      <c r="B601" s="7">
        <v>44796</v>
      </c>
      <c r="C601" s="6" t="s">
        <v>160</v>
      </c>
      <c r="D601" s="6" t="s">
        <v>2</v>
      </c>
      <c r="E601" s="6" t="s">
        <v>1</v>
      </c>
      <c r="F601" s="6">
        <v>31265</v>
      </c>
      <c r="G601" s="6">
        <v>200</v>
      </c>
      <c r="H601" s="12">
        <v>5789.9999019999996</v>
      </c>
      <c r="I601" s="6">
        <v>450</v>
      </c>
      <c r="J601" s="11">
        <f>Análises!F601</f>
        <v>22.316062570807279</v>
      </c>
    </row>
    <row r="602" spans="1:10">
      <c r="A602" s="6" t="s">
        <v>173</v>
      </c>
      <c r="B602" s="7">
        <v>44797</v>
      </c>
      <c r="C602" s="6" t="s">
        <v>160</v>
      </c>
      <c r="D602" s="6" t="s">
        <v>2</v>
      </c>
      <c r="E602" s="6" t="s">
        <v>1</v>
      </c>
      <c r="F602" s="6">
        <v>140147</v>
      </c>
      <c r="G602" s="6">
        <v>1200</v>
      </c>
      <c r="H602" s="12">
        <v>42080.000159999996</v>
      </c>
      <c r="I602" s="6">
        <v>500</v>
      </c>
      <c r="J602" s="11">
        <f>Análises!F602</f>
        <v>2.5646387697162027</v>
      </c>
    </row>
    <row r="603" spans="1:10">
      <c r="A603" s="6" t="s">
        <v>173</v>
      </c>
      <c r="B603" s="7">
        <v>44798</v>
      </c>
      <c r="C603" s="6" t="s">
        <v>160</v>
      </c>
      <c r="D603" s="6" t="s">
        <v>2</v>
      </c>
      <c r="E603" s="6" t="s">
        <v>1</v>
      </c>
      <c r="F603" s="6">
        <v>223120</v>
      </c>
      <c r="G603" s="6">
        <v>2000</v>
      </c>
      <c r="H603" s="12">
        <v>67669.999840000004</v>
      </c>
      <c r="I603" s="6">
        <v>450</v>
      </c>
      <c r="J603" s="11">
        <f>Análises!F603</f>
        <v>0.99497562168163278</v>
      </c>
    </row>
    <row r="604" spans="1:10">
      <c r="A604" s="6" t="s">
        <v>173</v>
      </c>
      <c r="B604" s="7">
        <v>44799</v>
      </c>
      <c r="C604" s="6" t="s">
        <v>160</v>
      </c>
      <c r="D604" s="6" t="s">
        <v>2</v>
      </c>
      <c r="E604" s="6" t="s">
        <v>1</v>
      </c>
      <c r="F604" s="6">
        <v>104869</v>
      </c>
      <c r="G604" s="6">
        <v>900</v>
      </c>
      <c r="H604" s="12">
        <v>34070.000890000003</v>
      </c>
      <c r="I604" s="6">
        <v>450</v>
      </c>
      <c r="J604" s="11">
        <f>Análises!F604</f>
        <v>2.9624301870688914</v>
      </c>
    </row>
    <row r="605" spans="1:10">
      <c r="A605" s="6" t="s">
        <v>173</v>
      </c>
      <c r="B605" s="7">
        <v>44800</v>
      </c>
      <c r="C605" s="6" t="s">
        <v>160</v>
      </c>
      <c r="D605" s="6" t="s">
        <v>2</v>
      </c>
      <c r="E605" s="6" t="s">
        <v>1</v>
      </c>
      <c r="F605" s="6">
        <v>165177</v>
      </c>
      <c r="G605" s="6">
        <v>1150</v>
      </c>
      <c r="H605" s="12">
        <v>41719.999669999997</v>
      </c>
      <c r="I605" s="6">
        <v>650</v>
      </c>
      <c r="J605" s="11">
        <f>Análises!F605</f>
        <v>3.6740172948807701</v>
      </c>
    </row>
    <row r="606" spans="1:10">
      <c r="A606" s="6" t="s">
        <v>173</v>
      </c>
      <c r="B606" s="7">
        <v>44801</v>
      </c>
      <c r="C606" s="6" t="s">
        <v>160</v>
      </c>
      <c r="D606" s="6" t="s">
        <v>2</v>
      </c>
      <c r="E606" s="6" t="s">
        <v>1</v>
      </c>
      <c r="F606" s="6">
        <v>84194</v>
      </c>
      <c r="G606" s="6">
        <v>550</v>
      </c>
      <c r="H606" s="12">
        <v>19569.999809999998</v>
      </c>
      <c r="I606" s="6">
        <v>450</v>
      </c>
      <c r="J606" s="11">
        <f>Análises!F606</f>
        <v>5.8983138125027921</v>
      </c>
    </row>
    <row r="607" spans="1:10">
      <c r="A607" s="6" t="s">
        <v>173</v>
      </c>
      <c r="B607" s="7">
        <v>44802</v>
      </c>
      <c r="C607" s="6" t="s">
        <v>160</v>
      </c>
      <c r="D607" s="6" t="s">
        <v>2</v>
      </c>
      <c r="E607" s="6" t="s">
        <v>1</v>
      </c>
      <c r="F607" s="6">
        <v>220581</v>
      </c>
      <c r="G607" s="6">
        <v>1550</v>
      </c>
      <c r="H607" s="12">
        <v>57370</v>
      </c>
      <c r="I607" s="6">
        <v>450</v>
      </c>
      <c r="J607" s="11">
        <f>Análises!F607</f>
        <v>1.3531462436813666</v>
      </c>
    </row>
    <row r="608" spans="1:10">
      <c r="A608" s="6" t="s">
        <v>173</v>
      </c>
      <c r="B608" s="7">
        <v>44803</v>
      </c>
      <c r="C608" s="6" t="s">
        <v>160</v>
      </c>
      <c r="D608" s="6" t="s">
        <v>2</v>
      </c>
      <c r="E608" s="6" t="s">
        <v>1</v>
      </c>
      <c r="F608" s="6">
        <v>75804</v>
      </c>
      <c r="G608" s="6">
        <v>500</v>
      </c>
      <c r="H608" s="12">
        <v>17369.999650000002</v>
      </c>
      <c r="I608" s="6">
        <v>550</v>
      </c>
      <c r="J608" s="11">
        <f>Análises!F608</f>
        <v>8.4991366335462182</v>
      </c>
    </row>
    <row r="609" spans="1:10">
      <c r="A609" s="6" t="s">
        <v>173</v>
      </c>
      <c r="B609" s="7">
        <v>44804</v>
      </c>
      <c r="C609" s="6" t="s">
        <v>160</v>
      </c>
      <c r="D609" s="6" t="s">
        <v>2</v>
      </c>
      <c r="E609" s="6" t="s">
        <v>1</v>
      </c>
      <c r="F609" s="6">
        <v>368986</v>
      </c>
      <c r="G609" s="6">
        <v>2950</v>
      </c>
      <c r="H609" s="12">
        <v>100289.999</v>
      </c>
      <c r="I609" s="6">
        <v>350</v>
      </c>
      <c r="J609" s="11">
        <f>Análises!F609</f>
        <v>4.6963815404963798E-2</v>
      </c>
    </row>
    <row r="610" spans="1:10">
      <c r="A610" s="6" t="s">
        <v>173</v>
      </c>
      <c r="B610" s="7">
        <v>44805</v>
      </c>
      <c r="C610" s="6" t="s">
        <v>160</v>
      </c>
      <c r="D610" s="6" t="s">
        <v>2</v>
      </c>
      <c r="E610" s="6" t="s">
        <v>1</v>
      </c>
      <c r="F610" s="6">
        <v>28194</v>
      </c>
      <c r="G610" s="6">
        <v>150</v>
      </c>
      <c r="H610" s="12">
        <v>3709.9999189999999</v>
      </c>
      <c r="I610" s="6">
        <v>500</v>
      </c>
      <c r="J610" s="11">
        <f>Análises!F610</f>
        <v>39.431267729092369</v>
      </c>
    </row>
    <row r="611" spans="1:10">
      <c r="A611" s="6" t="s">
        <v>173</v>
      </c>
      <c r="B611" s="7">
        <v>44806</v>
      </c>
      <c r="C611" s="6" t="s">
        <v>160</v>
      </c>
      <c r="D611" s="6" t="s">
        <v>2</v>
      </c>
      <c r="E611" s="6" t="s">
        <v>1</v>
      </c>
      <c r="F611" s="6">
        <v>99961</v>
      </c>
      <c r="G611" s="6">
        <v>700</v>
      </c>
      <c r="H611" s="12">
        <v>23209.999799999998</v>
      </c>
      <c r="I611" s="6">
        <v>500</v>
      </c>
      <c r="J611" s="11">
        <f>Análises!F611</f>
        <v>5.4627316369041941</v>
      </c>
    </row>
    <row r="612" spans="1:10">
      <c r="A612" s="6" t="s">
        <v>173</v>
      </c>
      <c r="B612" s="7">
        <v>44807</v>
      </c>
      <c r="C612" s="6" t="s">
        <v>160</v>
      </c>
      <c r="D612" s="6" t="s">
        <v>2</v>
      </c>
      <c r="E612" s="6" t="s">
        <v>1</v>
      </c>
      <c r="F612" s="6">
        <v>685781</v>
      </c>
      <c r="G612" s="6">
        <v>5150</v>
      </c>
      <c r="H612" s="12">
        <v>177889.99919999999</v>
      </c>
      <c r="I612" s="6">
        <v>950</v>
      </c>
      <c r="J612" s="11">
        <f>Análises!F612</f>
        <v>0.60211367295345974</v>
      </c>
    </row>
    <row r="613" spans="1:10">
      <c r="A613" s="6" t="s">
        <v>173</v>
      </c>
      <c r="B613" s="7">
        <v>44808</v>
      </c>
      <c r="C613" s="6" t="s">
        <v>160</v>
      </c>
      <c r="D613" s="6" t="s">
        <v>2</v>
      </c>
      <c r="E613" s="6" t="s">
        <v>1</v>
      </c>
      <c r="F613" s="6">
        <v>274222</v>
      </c>
      <c r="G613" s="6">
        <v>2150</v>
      </c>
      <c r="H613" s="12">
        <v>66770.000100000005</v>
      </c>
      <c r="I613" s="6">
        <v>550</v>
      </c>
      <c r="J613" s="11">
        <f>Análises!F613</f>
        <v>1.4711696832841548</v>
      </c>
    </row>
    <row r="614" spans="1:10">
      <c r="A614" s="6" t="s">
        <v>173</v>
      </c>
      <c r="B614" s="7">
        <v>44809</v>
      </c>
      <c r="C614" s="6" t="s">
        <v>160</v>
      </c>
      <c r="D614" s="6" t="s">
        <v>2</v>
      </c>
      <c r="E614" s="6" t="s">
        <v>1</v>
      </c>
      <c r="F614" s="6">
        <v>110503</v>
      </c>
      <c r="G614" s="6">
        <v>1250</v>
      </c>
      <c r="H614" s="12">
        <v>32679.999950000001</v>
      </c>
      <c r="I614" s="6">
        <v>550</v>
      </c>
      <c r="J614" s="11">
        <f>Análises!F614</f>
        <v>4.0489596160479797</v>
      </c>
    </row>
    <row r="615" spans="1:10">
      <c r="A615" s="6" t="s">
        <v>173</v>
      </c>
      <c r="B615" s="7">
        <v>44810</v>
      </c>
      <c r="C615" s="6" t="s">
        <v>160</v>
      </c>
      <c r="D615" s="6" t="s">
        <v>2</v>
      </c>
      <c r="E615" s="6" t="s">
        <v>1</v>
      </c>
      <c r="F615" s="6">
        <v>1447755</v>
      </c>
      <c r="G615" s="6">
        <v>11650</v>
      </c>
      <c r="H615" s="12">
        <v>420579.99829999998</v>
      </c>
      <c r="I615" s="6">
        <v>1350</v>
      </c>
      <c r="J615" s="11">
        <f>Análises!F615</f>
        <v>-3.7044078089721127E-2</v>
      </c>
    </row>
    <row r="616" spans="1:10">
      <c r="A616" s="6" t="s">
        <v>173</v>
      </c>
      <c r="B616" s="7">
        <v>44811</v>
      </c>
      <c r="C616" s="6" t="s">
        <v>160</v>
      </c>
      <c r="D616" s="6" t="s">
        <v>2</v>
      </c>
      <c r="E616" s="6" t="s">
        <v>1</v>
      </c>
      <c r="F616" s="6">
        <v>358987</v>
      </c>
      <c r="G616" s="6">
        <v>2600</v>
      </c>
      <c r="H616" s="12">
        <v>87550.000670000009</v>
      </c>
      <c r="I616" s="6">
        <v>450</v>
      </c>
      <c r="J616" s="11">
        <f>Análises!F616</f>
        <v>0.54197600190606587</v>
      </c>
    </row>
    <row r="617" spans="1:10">
      <c r="A617" s="6" t="s">
        <v>173</v>
      </c>
      <c r="B617" s="7">
        <v>44812</v>
      </c>
      <c r="C617" s="6" t="s">
        <v>160</v>
      </c>
      <c r="D617" s="6" t="s">
        <v>2</v>
      </c>
      <c r="E617" s="6" t="s">
        <v>1</v>
      </c>
      <c r="F617" s="6">
        <v>826205</v>
      </c>
      <c r="G617" s="6">
        <v>6250</v>
      </c>
      <c r="H617" s="12">
        <v>232370.00080000001</v>
      </c>
      <c r="I617" s="6">
        <v>650</v>
      </c>
      <c r="J617" s="11">
        <f>Análises!F617</f>
        <v>-0.16082110716246986</v>
      </c>
    </row>
    <row r="618" spans="1:10">
      <c r="A618" s="6" t="s">
        <v>173</v>
      </c>
      <c r="B618" s="7">
        <v>44813</v>
      </c>
      <c r="C618" s="6" t="s">
        <v>160</v>
      </c>
      <c r="D618" s="6" t="s">
        <v>2</v>
      </c>
      <c r="E618" s="6" t="s">
        <v>1</v>
      </c>
      <c r="F618" s="6">
        <v>550954</v>
      </c>
      <c r="G618" s="6">
        <v>4200</v>
      </c>
      <c r="H618" s="12">
        <v>150140.0012</v>
      </c>
      <c r="I618" s="6">
        <v>600</v>
      </c>
      <c r="J618" s="11">
        <f>Análises!F618</f>
        <v>0.19888103477649366</v>
      </c>
    </row>
    <row r="619" spans="1:10">
      <c r="A619" s="6" t="s">
        <v>173</v>
      </c>
      <c r="B619" s="7">
        <v>44814</v>
      </c>
      <c r="C619" s="6" t="s">
        <v>160</v>
      </c>
      <c r="D619" s="6" t="s">
        <v>2</v>
      </c>
      <c r="E619" s="6" t="s">
        <v>1</v>
      </c>
      <c r="F619" s="6">
        <v>378350</v>
      </c>
      <c r="G619" s="6">
        <v>2750</v>
      </c>
      <c r="H619" s="12">
        <v>96480.00073</v>
      </c>
      <c r="I619" s="6">
        <v>550</v>
      </c>
      <c r="J619" s="11">
        <f>Análises!F619</f>
        <v>0.71019899203518588</v>
      </c>
    </row>
    <row r="620" spans="1:10">
      <c r="A620" s="6" t="s">
        <v>173</v>
      </c>
      <c r="B620" s="7">
        <v>44815</v>
      </c>
      <c r="C620" s="6" t="s">
        <v>160</v>
      </c>
      <c r="D620" s="6" t="s">
        <v>2</v>
      </c>
      <c r="E620" s="6" t="s">
        <v>1</v>
      </c>
      <c r="F620" s="6">
        <v>492784</v>
      </c>
      <c r="G620" s="6">
        <v>2800</v>
      </c>
      <c r="H620" s="12">
        <v>95510.001300000004</v>
      </c>
      <c r="I620" s="6">
        <v>950</v>
      </c>
      <c r="J620" s="11">
        <f>Análises!F620</f>
        <v>1.9839806943861908</v>
      </c>
    </row>
    <row r="621" spans="1:10">
      <c r="A621" s="6" t="s">
        <v>173</v>
      </c>
      <c r="B621" s="7">
        <v>44816</v>
      </c>
      <c r="C621" s="6" t="s">
        <v>160</v>
      </c>
      <c r="D621" s="6" t="s">
        <v>2</v>
      </c>
      <c r="E621" s="6" t="s">
        <v>1</v>
      </c>
      <c r="F621" s="6">
        <v>327158</v>
      </c>
      <c r="G621" s="6">
        <v>2150</v>
      </c>
      <c r="H621" s="12">
        <v>72310.0003</v>
      </c>
      <c r="I621" s="6">
        <v>800</v>
      </c>
      <c r="J621" s="11">
        <f>Análises!F621</f>
        <v>2.3190429954956033</v>
      </c>
    </row>
    <row r="622" spans="1:10">
      <c r="A622" s="6" t="s">
        <v>173</v>
      </c>
      <c r="B622" s="7">
        <v>44817</v>
      </c>
      <c r="C622" s="6" t="s">
        <v>160</v>
      </c>
      <c r="D622" s="6" t="s">
        <v>2</v>
      </c>
      <c r="E622" s="6" t="s">
        <v>1</v>
      </c>
      <c r="F622" s="6">
        <v>59390</v>
      </c>
      <c r="G622" s="6">
        <v>250</v>
      </c>
      <c r="H622" s="12">
        <v>9209.9999189999999</v>
      </c>
      <c r="I622" s="6">
        <v>750</v>
      </c>
      <c r="J622" s="11">
        <f>Análises!F622</f>
        <v>23.429967641566492</v>
      </c>
    </row>
    <row r="623" spans="1:10">
      <c r="A623" s="6" t="s">
        <v>173</v>
      </c>
      <c r="B623" s="7">
        <v>44818</v>
      </c>
      <c r="C623" s="6" t="s">
        <v>160</v>
      </c>
      <c r="D623" s="6" t="s">
        <v>2</v>
      </c>
      <c r="E623" s="6" t="s">
        <v>1</v>
      </c>
      <c r="F623" s="6">
        <v>1040330</v>
      </c>
      <c r="G623" s="6">
        <v>7350</v>
      </c>
      <c r="H623" s="12">
        <v>254250.00380000001</v>
      </c>
      <c r="I623" s="6">
        <v>1150</v>
      </c>
      <c r="J623" s="11">
        <f>Análises!F623</f>
        <v>0.35693213311173211</v>
      </c>
    </row>
    <row r="624" spans="1:10">
      <c r="A624" s="6" t="s">
        <v>173</v>
      </c>
      <c r="B624" s="7">
        <v>44819</v>
      </c>
      <c r="C624" s="6" t="s">
        <v>160</v>
      </c>
      <c r="D624" s="6" t="s">
        <v>2</v>
      </c>
      <c r="E624" s="6" t="s">
        <v>1</v>
      </c>
      <c r="F624" s="6">
        <v>49422</v>
      </c>
      <c r="G624" s="6">
        <v>300</v>
      </c>
      <c r="H624" s="12">
        <v>11170.000310000001</v>
      </c>
      <c r="I624" s="6">
        <v>450</v>
      </c>
      <c r="J624" s="11">
        <f>Análises!F624</f>
        <v>11.085944158760725</v>
      </c>
    </row>
    <row r="625" spans="1:10">
      <c r="A625" s="6" t="s">
        <v>173</v>
      </c>
      <c r="B625" s="7">
        <v>44820</v>
      </c>
      <c r="C625" s="6" t="s">
        <v>160</v>
      </c>
      <c r="D625" s="6" t="s">
        <v>2</v>
      </c>
      <c r="E625" s="6" t="s">
        <v>1</v>
      </c>
      <c r="F625" s="6">
        <v>131091</v>
      </c>
      <c r="G625" s="6">
        <v>900</v>
      </c>
      <c r="H625" s="12">
        <v>34230.000260000001</v>
      </c>
      <c r="I625" s="6">
        <v>600</v>
      </c>
      <c r="J625" s="11">
        <f>Análises!F625</f>
        <v>4.2585450959035427</v>
      </c>
    </row>
    <row r="626" spans="1:10">
      <c r="A626" s="6" t="s">
        <v>173</v>
      </c>
      <c r="B626" s="7">
        <v>44821</v>
      </c>
      <c r="C626" s="6" t="s">
        <v>160</v>
      </c>
      <c r="D626" s="6" t="s">
        <v>2</v>
      </c>
      <c r="E626" s="6" t="s">
        <v>1</v>
      </c>
      <c r="F626" s="6">
        <v>95691</v>
      </c>
      <c r="G626" s="6">
        <v>750</v>
      </c>
      <c r="H626" s="12">
        <v>25260.000110000001</v>
      </c>
      <c r="I626" s="6">
        <v>550</v>
      </c>
      <c r="J626" s="11">
        <f>Análises!F626</f>
        <v>5.532066479868277</v>
      </c>
    </row>
    <row r="627" spans="1:10">
      <c r="A627" s="6" t="s">
        <v>173</v>
      </c>
      <c r="B627" s="7">
        <v>44822</v>
      </c>
      <c r="C627" s="6" t="s">
        <v>160</v>
      </c>
      <c r="D627" s="6" t="s">
        <v>2</v>
      </c>
      <c r="E627" s="6" t="s">
        <v>1</v>
      </c>
      <c r="F627" s="6">
        <v>15513</v>
      </c>
      <c r="G627" s="6">
        <v>50</v>
      </c>
      <c r="H627" s="12">
        <v>1289.9999620000001</v>
      </c>
      <c r="I627" s="6">
        <v>450</v>
      </c>
      <c r="J627" s="11">
        <f>Análises!F627</f>
        <v>103.65116587344519</v>
      </c>
    </row>
    <row r="628" spans="1:10">
      <c r="A628" s="6" t="s">
        <v>173</v>
      </c>
      <c r="B628" s="7">
        <v>44823</v>
      </c>
      <c r="C628" s="6" t="s">
        <v>160</v>
      </c>
      <c r="D628" s="6" t="s">
        <v>2</v>
      </c>
      <c r="E628" s="6" t="s">
        <v>1</v>
      </c>
      <c r="F628" s="6">
        <v>382537</v>
      </c>
      <c r="G628" s="6">
        <v>3150</v>
      </c>
      <c r="H628" s="12">
        <v>113990.0012</v>
      </c>
      <c r="I628" s="6">
        <v>750</v>
      </c>
      <c r="J628" s="11">
        <f>Análises!F628</f>
        <v>0.97385733512914463</v>
      </c>
    </row>
    <row r="629" spans="1:10">
      <c r="A629" s="6" t="s">
        <v>173</v>
      </c>
      <c r="B629" s="7">
        <v>44824</v>
      </c>
      <c r="C629" s="6" t="s">
        <v>160</v>
      </c>
      <c r="D629" s="6" t="s">
        <v>2</v>
      </c>
      <c r="E629" s="6" t="s">
        <v>1</v>
      </c>
      <c r="F629" s="6">
        <v>461356</v>
      </c>
      <c r="G629" s="6">
        <v>3200</v>
      </c>
      <c r="H629" s="12">
        <v>121099.9982</v>
      </c>
      <c r="I629" s="6">
        <v>850</v>
      </c>
      <c r="J629" s="11">
        <f>Análises!F629</f>
        <v>1.1056978017362182</v>
      </c>
    </row>
    <row r="630" spans="1:10">
      <c r="A630" s="6" t="s">
        <v>173</v>
      </c>
      <c r="B630" s="7">
        <v>44825</v>
      </c>
      <c r="C630" s="6" t="s">
        <v>160</v>
      </c>
      <c r="D630" s="6" t="s">
        <v>2</v>
      </c>
      <c r="E630" s="6" t="s">
        <v>1</v>
      </c>
      <c r="F630" s="6">
        <v>392541</v>
      </c>
      <c r="G630" s="6">
        <v>2650</v>
      </c>
      <c r="H630" s="12">
        <v>98700.000169999999</v>
      </c>
      <c r="I630" s="6">
        <v>650</v>
      </c>
      <c r="J630" s="11">
        <f>Análises!F630</f>
        <v>0.9756838871746073</v>
      </c>
    </row>
    <row r="631" spans="1:10">
      <c r="A631" s="6" t="s">
        <v>173</v>
      </c>
      <c r="B631" s="7">
        <v>44826</v>
      </c>
      <c r="C631" s="6" t="s">
        <v>160</v>
      </c>
      <c r="D631" s="6" t="s">
        <v>2</v>
      </c>
      <c r="E631" s="6" t="s">
        <v>1</v>
      </c>
      <c r="F631" s="6">
        <v>35088</v>
      </c>
      <c r="G631" s="6">
        <v>250</v>
      </c>
      <c r="H631" s="12">
        <v>8800.0000719999989</v>
      </c>
      <c r="I631" s="6">
        <v>500</v>
      </c>
      <c r="J631" s="11">
        <f>Análises!F631</f>
        <v>16.045454405991737</v>
      </c>
    </row>
    <row r="632" spans="1:10">
      <c r="A632" s="6" t="s">
        <v>173</v>
      </c>
      <c r="B632" s="7">
        <v>44827</v>
      </c>
      <c r="C632" s="6" t="s">
        <v>160</v>
      </c>
      <c r="D632" s="6" t="s">
        <v>2</v>
      </c>
      <c r="E632" s="6" t="s">
        <v>1</v>
      </c>
      <c r="F632" s="6">
        <v>53933</v>
      </c>
      <c r="G632" s="6">
        <v>300</v>
      </c>
      <c r="H632" s="12">
        <v>9929.9999480000006</v>
      </c>
      <c r="I632" s="6">
        <v>600</v>
      </c>
      <c r="J632" s="11">
        <f>Análises!F632</f>
        <v>17.126888312446944</v>
      </c>
    </row>
    <row r="633" spans="1:10">
      <c r="A633" s="6" t="s">
        <v>173</v>
      </c>
      <c r="B633" s="7">
        <v>44828</v>
      </c>
      <c r="C633" s="6" t="s">
        <v>160</v>
      </c>
      <c r="D633" s="6" t="s">
        <v>2</v>
      </c>
      <c r="E633" s="6" t="s">
        <v>1</v>
      </c>
      <c r="F633" s="6">
        <v>228861</v>
      </c>
      <c r="G633" s="6">
        <v>1650</v>
      </c>
      <c r="H633" s="12">
        <v>53389.999389999997</v>
      </c>
      <c r="I633" s="6">
        <v>650</v>
      </c>
      <c r="J633" s="11">
        <f>Análises!F633</f>
        <v>2.6523693992872324</v>
      </c>
    </row>
    <row r="634" spans="1:10">
      <c r="A634" s="6" t="s">
        <v>173</v>
      </c>
      <c r="B634" s="7">
        <v>44829</v>
      </c>
      <c r="C634" s="6" t="s">
        <v>160</v>
      </c>
      <c r="D634" s="6" t="s">
        <v>2</v>
      </c>
      <c r="E634" s="6" t="s">
        <v>1</v>
      </c>
      <c r="F634" s="6">
        <v>20959</v>
      </c>
      <c r="G634" s="6">
        <v>100</v>
      </c>
      <c r="H634" s="12">
        <v>3769.9999809999999</v>
      </c>
      <c r="I634" s="6">
        <v>550</v>
      </c>
      <c r="J634" s="11">
        <f>Análises!F634</f>
        <v>42.766578469911138</v>
      </c>
    </row>
    <row r="635" spans="1:10">
      <c r="A635" s="6" t="s">
        <v>173</v>
      </c>
      <c r="B635" s="7">
        <v>44830</v>
      </c>
      <c r="C635" s="6" t="s">
        <v>160</v>
      </c>
      <c r="D635" s="6" t="s">
        <v>2</v>
      </c>
      <c r="E635" s="6" t="s">
        <v>1</v>
      </c>
      <c r="F635" s="6">
        <v>24992</v>
      </c>
      <c r="G635" s="6">
        <v>100</v>
      </c>
      <c r="H635" s="12">
        <v>3190.0000569999997</v>
      </c>
      <c r="I635" s="6">
        <v>500</v>
      </c>
      <c r="J635" s="11">
        <f>Análises!F635</f>
        <v>46.021942733463725</v>
      </c>
    </row>
    <row r="636" spans="1:10">
      <c r="A636" s="6" t="s">
        <v>173</v>
      </c>
      <c r="B636" s="7">
        <v>44831</v>
      </c>
      <c r="C636" s="6" t="s">
        <v>160</v>
      </c>
      <c r="D636" s="6" t="s">
        <v>2</v>
      </c>
      <c r="E636" s="6" t="s">
        <v>1</v>
      </c>
      <c r="F636" s="6">
        <v>100351</v>
      </c>
      <c r="G636" s="6">
        <v>750</v>
      </c>
      <c r="H636" s="12">
        <v>24179.999949999998</v>
      </c>
      <c r="I636" s="6">
        <v>550</v>
      </c>
      <c r="J636" s="11">
        <f>Análises!F636</f>
        <v>5.823821354060839</v>
      </c>
    </row>
    <row r="637" spans="1:10">
      <c r="A637" s="6" t="s">
        <v>173</v>
      </c>
      <c r="B637" s="7">
        <v>44832</v>
      </c>
      <c r="C637" s="6" t="s">
        <v>160</v>
      </c>
      <c r="D637" s="6" t="s">
        <v>2</v>
      </c>
      <c r="E637" s="6" t="s">
        <v>1</v>
      </c>
      <c r="F637" s="6">
        <v>292448</v>
      </c>
      <c r="G637" s="6">
        <v>2150</v>
      </c>
      <c r="H637" s="12">
        <v>76899.999679999994</v>
      </c>
      <c r="I637" s="6">
        <v>550</v>
      </c>
      <c r="J637" s="11">
        <f>Análises!F637</f>
        <v>1.1456437020364889</v>
      </c>
    </row>
    <row r="638" spans="1:10">
      <c r="A638" s="6" t="s">
        <v>173</v>
      </c>
      <c r="B638" s="7">
        <v>44833</v>
      </c>
      <c r="C638" s="6" t="s">
        <v>160</v>
      </c>
      <c r="D638" s="6" t="s">
        <v>2</v>
      </c>
      <c r="E638" s="6" t="s">
        <v>1</v>
      </c>
      <c r="F638" s="6">
        <v>65060</v>
      </c>
      <c r="G638" s="6">
        <v>350</v>
      </c>
      <c r="H638" s="12">
        <v>14520.000100000001</v>
      </c>
      <c r="I638" s="6">
        <v>500</v>
      </c>
      <c r="J638" s="11">
        <f>Análises!F638</f>
        <v>9.3305784412494592</v>
      </c>
    </row>
    <row r="639" spans="1:10">
      <c r="A639" s="6" t="s">
        <v>173</v>
      </c>
      <c r="B639" s="7">
        <v>44834</v>
      </c>
      <c r="C639" s="6" t="s">
        <v>160</v>
      </c>
      <c r="D639" s="6" t="s">
        <v>2</v>
      </c>
      <c r="E639" s="6" t="s">
        <v>1</v>
      </c>
      <c r="F639" s="6">
        <v>133316</v>
      </c>
      <c r="G639" s="6">
        <v>1050</v>
      </c>
      <c r="H639" s="12">
        <v>36170.000549999997</v>
      </c>
      <c r="I639" s="6">
        <v>500</v>
      </c>
      <c r="J639" s="11">
        <f>Análises!F639</f>
        <v>3.1470831550761482</v>
      </c>
    </row>
    <row r="640" spans="1:10">
      <c r="A640" s="6" t="s">
        <v>173</v>
      </c>
      <c r="B640" s="7">
        <v>44835</v>
      </c>
      <c r="C640" s="6" t="s">
        <v>160</v>
      </c>
      <c r="D640" s="6" t="s">
        <v>2</v>
      </c>
      <c r="E640" s="6" t="s">
        <v>1</v>
      </c>
      <c r="F640" s="6">
        <v>113501</v>
      </c>
      <c r="G640" s="6">
        <v>1300</v>
      </c>
      <c r="H640" s="12">
        <v>38440.000769999999</v>
      </c>
      <c r="I640" s="6">
        <v>900</v>
      </c>
      <c r="J640" s="11">
        <f>Análises!F640</f>
        <v>6.0239332620075814</v>
      </c>
    </row>
    <row r="641" spans="1:10">
      <c r="A641" s="6" t="s">
        <v>173</v>
      </c>
      <c r="B641" s="7">
        <v>44836</v>
      </c>
      <c r="C641" s="6" t="s">
        <v>160</v>
      </c>
      <c r="D641" s="6" t="s">
        <v>2</v>
      </c>
      <c r="E641" s="6" t="s">
        <v>1</v>
      </c>
      <c r="F641" s="6">
        <v>192810</v>
      </c>
      <c r="G641" s="6">
        <v>2050</v>
      </c>
      <c r="H641" s="12">
        <v>61929.999950000005</v>
      </c>
      <c r="I641" s="6">
        <v>750</v>
      </c>
      <c r="J641" s="11">
        <f>Análises!F641</f>
        <v>2.6331341866891118</v>
      </c>
    </row>
    <row r="642" spans="1:10">
      <c r="A642" s="6" t="s">
        <v>173</v>
      </c>
      <c r="B642" s="7">
        <v>44837</v>
      </c>
      <c r="C642" s="6" t="s">
        <v>160</v>
      </c>
      <c r="D642" s="6" t="s">
        <v>2</v>
      </c>
      <c r="E642" s="6" t="s">
        <v>1</v>
      </c>
      <c r="F642" s="6">
        <v>233404</v>
      </c>
      <c r="G642" s="6">
        <v>2150</v>
      </c>
      <c r="H642" s="12">
        <v>70410.000800000009</v>
      </c>
      <c r="I642" s="6">
        <v>550</v>
      </c>
      <c r="J642" s="11">
        <f>Análises!F642</f>
        <v>1.3434171016228702</v>
      </c>
    </row>
    <row r="643" spans="1:10">
      <c r="A643" s="6" t="s">
        <v>173</v>
      </c>
      <c r="B643" s="7">
        <v>44838</v>
      </c>
      <c r="C643" s="6" t="s">
        <v>160</v>
      </c>
      <c r="D643" s="6" t="s">
        <v>2</v>
      </c>
      <c r="E643" s="6" t="s">
        <v>1</v>
      </c>
      <c r="F643" s="6">
        <v>128843</v>
      </c>
      <c r="G643" s="6">
        <v>1200</v>
      </c>
      <c r="H643" s="12">
        <v>37599.999900000003</v>
      </c>
      <c r="I643" s="6">
        <v>450</v>
      </c>
      <c r="J643" s="11">
        <f>Análises!F643</f>
        <v>2.5904255414638975</v>
      </c>
    </row>
    <row r="644" spans="1:10">
      <c r="A644" s="6" t="s">
        <v>173</v>
      </c>
      <c r="B644" s="7">
        <v>44839</v>
      </c>
      <c r="C644" s="6" t="s">
        <v>160</v>
      </c>
      <c r="D644" s="6" t="s">
        <v>2</v>
      </c>
      <c r="E644" s="6" t="s">
        <v>1</v>
      </c>
      <c r="F644" s="6">
        <v>63564</v>
      </c>
      <c r="G644" s="6">
        <v>600</v>
      </c>
      <c r="H644" s="12">
        <v>20590.00027</v>
      </c>
      <c r="I644" s="6">
        <v>550</v>
      </c>
      <c r="J644" s="11">
        <f>Análises!F644</f>
        <v>7.0135987293020081</v>
      </c>
    </row>
    <row r="645" spans="1:10">
      <c r="A645" s="6" t="s">
        <v>173</v>
      </c>
      <c r="B645" s="7">
        <v>44840</v>
      </c>
      <c r="C645" s="6" t="s">
        <v>160</v>
      </c>
      <c r="D645" s="6" t="s">
        <v>2</v>
      </c>
      <c r="E645" s="6" t="s">
        <v>1</v>
      </c>
      <c r="F645" s="6">
        <v>85970</v>
      </c>
      <c r="G645" s="6">
        <v>700</v>
      </c>
      <c r="H645" s="12">
        <v>24780.000210000002</v>
      </c>
      <c r="I645" s="6">
        <v>550</v>
      </c>
      <c r="J645" s="11">
        <f>Análises!F645</f>
        <v>5.6585955852177126</v>
      </c>
    </row>
    <row r="646" spans="1:10">
      <c r="A646" s="6" t="s">
        <v>173</v>
      </c>
      <c r="B646" s="7">
        <v>44841</v>
      </c>
      <c r="C646" s="6" t="s">
        <v>160</v>
      </c>
      <c r="D646" s="6" t="s">
        <v>2</v>
      </c>
      <c r="E646" s="6" t="s">
        <v>1</v>
      </c>
      <c r="F646" s="6">
        <v>131232</v>
      </c>
      <c r="G646" s="6">
        <v>800</v>
      </c>
      <c r="H646" s="12">
        <v>29539.999370000001</v>
      </c>
      <c r="I646" s="6">
        <v>500</v>
      </c>
      <c r="J646" s="11">
        <f>Análises!F646</f>
        <v>4.0778606363931003</v>
      </c>
    </row>
    <row r="647" spans="1:10">
      <c r="A647" s="6" t="s">
        <v>173</v>
      </c>
      <c r="B647" s="7">
        <v>44842</v>
      </c>
      <c r="C647" s="6" t="s">
        <v>160</v>
      </c>
      <c r="D647" s="6" t="s">
        <v>2</v>
      </c>
      <c r="E647" s="6" t="s">
        <v>1</v>
      </c>
      <c r="F647" s="6">
        <v>152454</v>
      </c>
      <c r="G647" s="6">
        <v>1100</v>
      </c>
      <c r="H647" s="12">
        <v>37849.999790000002</v>
      </c>
      <c r="I647" s="6">
        <v>500</v>
      </c>
      <c r="J647" s="11">
        <f>Análises!F647</f>
        <v>2.9630119110233157</v>
      </c>
    </row>
    <row r="648" spans="1:10">
      <c r="A648" s="6" t="s">
        <v>173</v>
      </c>
      <c r="B648" s="7">
        <v>44843</v>
      </c>
      <c r="C648" s="6" t="s">
        <v>160</v>
      </c>
      <c r="D648" s="6" t="s">
        <v>2</v>
      </c>
      <c r="E648" s="6" t="s">
        <v>1</v>
      </c>
      <c r="F648" s="6">
        <v>28989</v>
      </c>
      <c r="G648" s="6">
        <v>100</v>
      </c>
      <c r="H648" s="12">
        <v>2290.0000209999998</v>
      </c>
      <c r="I648" s="6">
        <v>400</v>
      </c>
      <c r="J648" s="11">
        <f>Análises!F648</f>
        <v>51.401746244350804</v>
      </c>
    </row>
    <row r="649" spans="1:10">
      <c r="A649" s="6" t="s">
        <v>173</v>
      </c>
      <c r="B649" s="7">
        <v>44844</v>
      </c>
      <c r="C649" s="6" t="s">
        <v>160</v>
      </c>
      <c r="D649" s="6" t="s">
        <v>2</v>
      </c>
      <c r="E649" s="6" t="s">
        <v>1</v>
      </c>
      <c r="F649" s="6">
        <v>80248</v>
      </c>
      <c r="G649" s="6">
        <v>750</v>
      </c>
      <c r="H649" s="12">
        <v>24190.0003</v>
      </c>
      <c r="I649" s="6">
        <v>550</v>
      </c>
      <c r="J649" s="11">
        <f>Análises!F649</f>
        <v>5.8210003288011531</v>
      </c>
    </row>
    <row r="650" spans="1:10">
      <c r="A650" s="6" t="s">
        <v>173</v>
      </c>
      <c r="B650" s="7">
        <v>44845</v>
      </c>
      <c r="C650" s="6" t="s">
        <v>160</v>
      </c>
      <c r="D650" s="6" t="s">
        <v>2</v>
      </c>
      <c r="E650" s="6" t="s">
        <v>1</v>
      </c>
      <c r="F650" s="6">
        <v>38580</v>
      </c>
      <c r="G650" s="6">
        <v>250</v>
      </c>
      <c r="H650" s="12">
        <v>8519.999980999999</v>
      </c>
      <c r="I650" s="6">
        <v>500</v>
      </c>
      <c r="J650" s="11">
        <f>Análises!F650</f>
        <v>16.605633842078294</v>
      </c>
    </row>
    <row r="651" spans="1:10">
      <c r="A651" s="6" t="s">
        <v>173</v>
      </c>
      <c r="B651" s="7">
        <v>44846</v>
      </c>
      <c r="C651" s="6" t="s">
        <v>160</v>
      </c>
      <c r="D651" s="6" t="s">
        <v>2</v>
      </c>
      <c r="E651" s="6" t="s">
        <v>1</v>
      </c>
      <c r="F651" s="6">
        <v>33534</v>
      </c>
      <c r="G651" s="6">
        <v>100</v>
      </c>
      <c r="H651" s="12">
        <v>2960.0000380000001</v>
      </c>
      <c r="I651" s="6">
        <v>450</v>
      </c>
      <c r="J651" s="11">
        <f>Análises!F651</f>
        <v>44.608107522598615</v>
      </c>
    </row>
    <row r="652" spans="1:10">
      <c r="A652" s="6" t="s">
        <v>173</v>
      </c>
      <c r="B652" s="7">
        <v>44847</v>
      </c>
      <c r="C652" s="6" t="s">
        <v>160</v>
      </c>
      <c r="D652" s="6" t="s">
        <v>2</v>
      </c>
      <c r="E652" s="6" t="s">
        <v>1</v>
      </c>
      <c r="F652" s="6">
        <v>128859</v>
      </c>
      <c r="G652" s="6">
        <v>800</v>
      </c>
      <c r="H652" s="12">
        <v>23699.99957</v>
      </c>
      <c r="I652" s="6">
        <v>450</v>
      </c>
      <c r="J652" s="11">
        <f>Análises!F652</f>
        <v>4.6962026349943935</v>
      </c>
    </row>
    <row r="653" spans="1:10">
      <c r="A653" s="6" t="s">
        <v>173</v>
      </c>
      <c r="B653" s="7">
        <v>44848</v>
      </c>
      <c r="C653" s="6" t="s">
        <v>160</v>
      </c>
      <c r="D653" s="6" t="s">
        <v>2</v>
      </c>
      <c r="E653" s="6" t="s">
        <v>1</v>
      </c>
      <c r="F653" s="6">
        <v>92080</v>
      </c>
      <c r="G653" s="6">
        <v>600</v>
      </c>
      <c r="H653" s="12">
        <v>16940.000179999999</v>
      </c>
      <c r="I653" s="6">
        <v>650</v>
      </c>
      <c r="J653" s="11">
        <f>Análises!F653</f>
        <v>10.511215934355439</v>
      </c>
    </row>
    <row r="654" spans="1:10">
      <c r="A654" s="6" t="s">
        <v>173</v>
      </c>
      <c r="B654" s="7">
        <v>44849</v>
      </c>
      <c r="C654" s="6" t="s">
        <v>160</v>
      </c>
      <c r="D654" s="6" t="s">
        <v>2</v>
      </c>
      <c r="E654" s="6" t="s">
        <v>1</v>
      </c>
      <c r="F654" s="6">
        <v>211882</v>
      </c>
      <c r="G654" s="6">
        <v>1650</v>
      </c>
      <c r="H654" s="12">
        <v>46649.999260000004</v>
      </c>
      <c r="I654" s="6">
        <v>550</v>
      </c>
      <c r="J654" s="11">
        <f>Análises!F654</f>
        <v>2.5369775480678105</v>
      </c>
    </row>
    <row r="655" spans="1:10">
      <c r="A655" s="6" t="s">
        <v>173</v>
      </c>
      <c r="B655" s="7">
        <v>44850</v>
      </c>
      <c r="C655" s="6" t="s">
        <v>160</v>
      </c>
      <c r="D655" s="6" t="s">
        <v>2</v>
      </c>
      <c r="E655" s="6" t="s">
        <v>1</v>
      </c>
      <c r="F655" s="6">
        <v>112776</v>
      </c>
      <c r="G655" s="6">
        <v>450</v>
      </c>
      <c r="H655" s="12">
        <v>12679.999949999999</v>
      </c>
      <c r="I655" s="6">
        <v>450</v>
      </c>
      <c r="J655" s="11">
        <f>Análises!F655</f>
        <v>9.6466877391430916</v>
      </c>
    </row>
    <row r="656" spans="1:10">
      <c r="A656" s="6" t="s">
        <v>173</v>
      </c>
      <c r="B656" s="7">
        <v>44851</v>
      </c>
      <c r="C656" s="6" t="s">
        <v>160</v>
      </c>
      <c r="D656" s="6" t="s">
        <v>2</v>
      </c>
      <c r="E656" s="6" t="s">
        <v>1</v>
      </c>
      <c r="F656" s="6">
        <v>145324</v>
      </c>
      <c r="G656" s="6">
        <v>700</v>
      </c>
      <c r="H656" s="12">
        <v>19820.000050000002</v>
      </c>
      <c r="I656" s="6">
        <v>550</v>
      </c>
      <c r="J656" s="11">
        <f>Análises!F656</f>
        <v>7.3249242978685052</v>
      </c>
    </row>
    <row r="657" spans="1:10">
      <c r="A657" s="6" t="s">
        <v>173</v>
      </c>
      <c r="B657" s="7">
        <v>44852</v>
      </c>
      <c r="C657" s="6" t="s">
        <v>160</v>
      </c>
      <c r="D657" s="6" t="s">
        <v>2</v>
      </c>
      <c r="E657" s="6" t="s">
        <v>1</v>
      </c>
      <c r="F657" s="6">
        <v>106492</v>
      </c>
      <c r="G657" s="6">
        <v>700</v>
      </c>
      <c r="H657" s="12">
        <v>21260.000229999998</v>
      </c>
      <c r="I657" s="6">
        <v>550</v>
      </c>
      <c r="J657" s="11">
        <f>Análises!F657</f>
        <v>6.7610535378625443</v>
      </c>
    </row>
    <row r="658" spans="1:10">
      <c r="A658" s="6" t="s">
        <v>173</v>
      </c>
      <c r="B658" s="7">
        <v>44853</v>
      </c>
      <c r="C658" s="6" t="s">
        <v>160</v>
      </c>
      <c r="D658" s="6" t="s">
        <v>2</v>
      </c>
      <c r="E658" s="6" t="s">
        <v>1</v>
      </c>
      <c r="F658" s="6">
        <v>233845</v>
      </c>
      <c r="G658" s="6">
        <v>1500</v>
      </c>
      <c r="H658" s="12">
        <v>40730.000619999999</v>
      </c>
      <c r="I658" s="6">
        <v>500</v>
      </c>
      <c r="J658" s="11">
        <f>Análises!F658</f>
        <v>2.6827890428841341</v>
      </c>
    </row>
    <row r="659" spans="1:10">
      <c r="A659" s="6" t="s">
        <v>173</v>
      </c>
      <c r="B659" s="7">
        <v>44854</v>
      </c>
      <c r="C659" s="6" t="s">
        <v>160</v>
      </c>
      <c r="D659" s="6" t="s">
        <v>2</v>
      </c>
      <c r="E659" s="6" t="s">
        <v>1</v>
      </c>
      <c r="F659" s="6">
        <v>155426</v>
      </c>
      <c r="G659" s="6">
        <v>850</v>
      </c>
      <c r="H659" s="12">
        <v>25010.000229999998</v>
      </c>
      <c r="I659" s="6">
        <v>600</v>
      </c>
      <c r="J659" s="11">
        <f>Análises!F659</f>
        <v>6.1971210853523457</v>
      </c>
    </row>
    <row r="660" spans="1:10">
      <c r="A660" s="6" t="s">
        <v>173</v>
      </c>
      <c r="B660" s="7">
        <v>44855</v>
      </c>
      <c r="C660" s="6" t="s">
        <v>160</v>
      </c>
      <c r="D660" s="6" t="s">
        <v>2</v>
      </c>
      <c r="E660" s="6" t="s">
        <v>1</v>
      </c>
      <c r="F660" s="6">
        <v>97540</v>
      </c>
      <c r="G660" s="6">
        <v>400</v>
      </c>
      <c r="H660" s="12">
        <v>11519.999500000002</v>
      </c>
      <c r="I660" s="6">
        <v>550</v>
      </c>
      <c r="J660" s="11">
        <f>Análises!F660</f>
        <v>13.32291728832106</v>
      </c>
    </row>
    <row r="661" spans="1:10">
      <c r="A661" s="6" t="s">
        <v>173</v>
      </c>
      <c r="B661" s="7">
        <v>44856</v>
      </c>
      <c r="C661" s="6" t="s">
        <v>160</v>
      </c>
      <c r="D661" s="6" t="s">
        <v>2</v>
      </c>
      <c r="E661" s="6" t="s">
        <v>1</v>
      </c>
      <c r="F661" s="6">
        <v>61441</v>
      </c>
      <c r="G661" s="6">
        <v>250</v>
      </c>
      <c r="H661" s="12">
        <v>7700.0000479999999</v>
      </c>
      <c r="I661" s="6">
        <v>450</v>
      </c>
      <c r="J661" s="11">
        <f>Análises!F661</f>
        <v>16.532467423174229</v>
      </c>
    </row>
    <row r="662" spans="1:10">
      <c r="A662" s="6" t="s">
        <v>174</v>
      </c>
      <c r="B662" s="7">
        <v>44857</v>
      </c>
      <c r="C662" s="6" t="s">
        <v>160</v>
      </c>
      <c r="D662" s="6" t="s">
        <v>3</v>
      </c>
      <c r="E662" s="6" t="s">
        <v>5</v>
      </c>
      <c r="F662" s="6">
        <v>258954</v>
      </c>
      <c r="G662" s="6">
        <v>3050</v>
      </c>
      <c r="H662" s="12">
        <v>82279.999020000003</v>
      </c>
      <c r="I662" s="6">
        <v>150</v>
      </c>
      <c r="J662" s="11">
        <f>Análises!F662</f>
        <v>-0.45308701341790564</v>
      </c>
    </row>
    <row r="663" spans="1:10">
      <c r="A663" s="6" t="s">
        <v>174</v>
      </c>
      <c r="B663" s="7">
        <v>44858</v>
      </c>
      <c r="C663" s="6" t="s">
        <v>160</v>
      </c>
      <c r="D663" s="6" t="s">
        <v>3</v>
      </c>
      <c r="E663" s="6" t="s">
        <v>5</v>
      </c>
      <c r="F663" s="6">
        <v>205289</v>
      </c>
      <c r="G663" s="6">
        <v>2400</v>
      </c>
      <c r="H663" s="12">
        <v>71530.001040000003</v>
      </c>
      <c r="I663" s="6">
        <v>100</v>
      </c>
      <c r="J663" s="11">
        <f>Análises!F663</f>
        <v>-0.58059556041074545</v>
      </c>
    </row>
    <row r="664" spans="1:10">
      <c r="A664" s="6" t="s">
        <v>174</v>
      </c>
      <c r="B664" s="7">
        <v>44859</v>
      </c>
      <c r="C664" s="6" t="s">
        <v>160</v>
      </c>
      <c r="D664" s="6" t="s">
        <v>3</v>
      </c>
      <c r="E664" s="6" t="s">
        <v>5</v>
      </c>
      <c r="F664" s="6">
        <v>611601</v>
      </c>
      <c r="G664" s="6">
        <v>6900</v>
      </c>
      <c r="H664" s="12">
        <v>191419.99599999998</v>
      </c>
      <c r="I664" s="6">
        <v>550</v>
      </c>
      <c r="J664" s="11">
        <f>Análises!F664</f>
        <v>-0.13802108741032459</v>
      </c>
    </row>
    <row r="665" spans="1:10">
      <c r="A665" s="6" t="s">
        <v>174</v>
      </c>
      <c r="B665" s="7">
        <v>44860</v>
      </c>
      <c r="C665" s="6" t="s">
        <v>160</v>
      </c>
      <c r="D665" s="6" t="s">
        <v>3</v>
      </c>
      <c r="E665" s="6" t="s">
        <v>5</v>
      </c>
      <c r="F665" s="6">
        <v>947657</v>
      </c>
      <c r="G665" s="6">
        <v>11650</v>
      </c>
      <c r="H665" s="12">
        <v>321870.00039999996</v>
      </c>
      <c r="I665" s="6">
        <v>550</v>
      </c>
      <c r="J665" s="11">
        <f>Análises!F665</f>
        <v>-0.48737067823982261</v>
      </c>
    </row>
    <row r="666" spans="1:10">
      <c r="A666" s="6" t="s">
        <v>174</v>
      </c>
      <c r="B666" s="7">
        <v>44861</v>
      </c>
      <c r="C666" s="6" t="s">
        <v>160</v>
      </c>
      <c r="D666" s="6" t="s">
        <v>3</v>
      </c>
      <c r="E666" s="6" t="s">
        <v>5</v>
      </c>
      <c r="F666" s="6">
        <v>233043</v>
      </c>
      <c r="G666" s="6">
        <v>2450</v>
      </c>
      <c r="H666" s="12">
        <v>65030.000329999995</v>
      </c>
      <c r="I666" s="6">
        <v>100</v>
      </c>
      <c r="J666" s="11">
        <f>Análises!F666</f>
        <v>-0.53867446028352184</v>
      </c>
    </row>
    <row r="667" spans="1:10">
      <c r="A667" s="6" t="s">
        <v>174</v>
      </c>
      <c r="B667" s="7">
        <v>44862</v>
      </c>
      <c r="C667" s="6" t="s">
        <v>160</v>
      </c>
      <c r="D667" s="6" t="s">
        <v>3</v>
      </c>
      <c r="E667" s="6" t="s">
        <v>5</v>
      </c>
      <c r="F667" s="6">
        <v>582725</v>
      </c>
      <c r="G667" s="6">
        <v>7100</v>
      </c>
      <c r="H667" s="12">
        <v>194809.9988</v>
      </c>
      <c r="I667" s="6">
        <v>550</v>
      </c>
      <c r="J667" s="11">
        <f>Análises!F667</f>
        <v>-0.15302088693406429</v>
      </c>
    </row>
    <row r="668" spans="1:10">
      <c r="A668" s="6" t="s">
        <v>174</v>
      </c>
      <c r="B668" s="7">
        <v>44863</v>
      </c>
      <c r="C668" s="6" t="s">
        <v>160</v>
      </c>
      <c r="D668" s="6" t="s">
        <v>3</v>
      </c>
      <c r="E668" s="6" t="s">
        <v>5</v>
      </c>
      <c r="F668" s="6">
        <v>265038</v>
      </c>
      <c r="G668" s="6">
        <v>2550</v>
      </c>
      <c r="H668" s="12">
        <v>78459.999319999988</v>
      </c>
      <c r="I668" s="6">
        <v>100</v>
      </c>
      <c r="J668" s="11">
        <f>Análises!F668</f>
        <v>-0.61763955824617511</v>
      </c>
    </row>
    <row r="669" spans="1:10">
      <c r="A669" s="6" t="s">
        <v>174</v>
      </c>
      <c r="B669" s="7">
        <v>44864</v>
      </c>
      <c r="C669" s="6" t="s">
        <v>160</v>
      </c>
      <c r="D669" s="6" t="s">
        <v>3</v>
      </c>
      <c r="E669" s="6" t="s">
        <v>5</v>
      </c>
      <c r="F669" s="6">
        <v>222273</v>
      </c>
      <c r="G669" s="6">
        <v>1950</v>
      </c>
      <c r="H669" s="12">
        <v>53629.998679999997</v>
      </c>
      <c r="I669" s="6">
        <v>450</v>
      </c>
      <c r="J669" s="11">
        <f>Análises!F669</f>
        <v>1.51724787101934</v>
      </c>
    </row>
    <row r="670" spans="1:10">
      <c r="A670" s="6" t="s">
        <v>174</v>
      </c>
      <c r="B670" s="7">
        <v>44865</v>
      </c>
      <c r="C670" s="6" t="s">
        <v>160</v>
      </c>
      <c r="D670" s="6" t="s">
        <v>3</v>
      </c>
      <c r="E670" s="6" t="s">
        <v>5</v>
      </c>
      <c r="F670" s="6">
        <v>797234</v>
      </c>
      <c r="G670" s="6">
        <v>8500</v>
      </c>
      <c r="H670" s="12">
        <v>243769.99780000001</v>
      </c>
      <c r="I670" s="6">
        <v>250</v>
      </c>
      <c r="J670" s="11">
        <f>Análises!F670</f>
        <v>-0.69233293400800944</v>
      </c>
    </row>
    <row r="671" spans="1:10">
      <c r="A671" s="6" t="s">
        <v>174</v>
      </c>
      <c r="B671" s="7">
        <v>44866</v>
      </c>
      <c r="C671" s="6" t="s">
        <v>160</v>
      </c>
      <c r="D671" s="6" t="s">
        <v>3</v>
      </c>
      <c r="E671" s="6" t="s">
        <v>5</v>
      </c>
      <c r="F671" s="6">
        <v>925555</v>
      </c>
      <c r="G671" s="6">
        <v>9100</v>
      </c>
      <c r="H671" s="12">
        <v>262889.99810000003</v>
      </c>
      <c r="I671" s="6">
        <v>200</v>
      </c>
      <c r="J671" s="11">
        <f>Análises!F671</f>
        <v>-0.7717676578278313</v>
      </c>
    </row>
    <row r="672" spans="1:10">
      <c r="A672" s="6" t="s">
        <v>174</v>
      </c>
      <c r="B672" s="7">
        <v>44867</v>
      </c>
      <c r="C672" s="6" t="s">
        <v>160</v>
      </c>
      <c r="D672" s="6" t="s">
        <v>3</v>
      </c>
      <c r="E672" s="6" t="s">
        <v>5</v>
      </c>
      <c r="F672" s="6">
        <v>22210</v>
      </c>
      <c r="G672" s="6">
        <v>150</v>
      </c>
      <c r="H672" s="12">
        <v>4050.0001909999996</v>
      </c>
      <c r="I672" s="6">
        <v>0</v>
      </c>
      <c r="J672" s="11">
        <f>Análises!F672</f>
        <v>-1</v>
      </c>
    </row>
    <row r="673" spans="1:10">
      <c r="A673" s="6" t="s">
        <v>174</v>
      </c>
      <c r="B673" s="7">
        <v>44868</v>
      </c>
      <c r="C673" s="6" t="s">
        <v>160</v>
      </c>
      <c r="D673" s="6" t="s">
        <v>3</v>
      </c>
      <c r="E673" s="6" t="s">
        <v>5</v>
      </c>
      <c r="F673" s="6">
        <v>46391</v>
      </c>
      <c r="G673" s="6">
        <v>550</v>
      </c>
      <c r="H673" s="12">
        <v>16409.99985</v>
      </c>
      <c r="I673" s="6">
        <v>200</v>
      </c>
      <c r="J673" s="11">
        <f>Análises!F673</f>
        <v>2.6563071632203581</v>
      </c>
    </row>
    <row r="674" spans="1:10">
      <c r="A674" s="6" t="s">
        <v>174</v>
      </c>
      <c r="B674" s="7">
        <v>44869</v>
      </c>
      <c r="C674" s="6" t="s">
        <v>160</v>
      </c>
      <c r="D674" s="6" t="s">
        <v>3</v>
      </c>
      <c r="E674" s="6" t="s">
        <v>5</v>
      </c>
      <c r="F674" s="6">
        <v>190477</v>
      </c>
      <c r="G674" s="6">
        <v>2100</v>
      </c>
      <c r="H674" s="12">
        <v>66389.99987</v>
      </c>
      <c r="I674" s="6">
        <v>0</v>
      </c>
      <c r="J674" s="11">
        <f>Análises!F674</f>
        <v>-1</v>
      </c>
    </row>
    <row r="675" spans="1:10">
      <c r="A675" s="6" t="s">
        <v>174</v>
      </c>
      <c r="B675" s="7">
        <v>44870</v>
      </c>
      <c r="C675" s="6" t="s">
        <v>160</v>
      </c>
      <c r="D675" s="6" t="s">
        <v>3</v>
      </c>
      <c r="E675" s="6" t="s">
        <v>5</v>
      </c>
      <c r="F675" s="6">
        <v>25382</v>
      </c>
      <c r="G675" s="6">
        <v>350</v>
      </c>
      <c r="H675" s="12">
        <v>9609.999894999999</v>
      </c>
      <c r="I675" s="6">
        <v>50</v>
      </c>
      <c r="J675" s="11">
        <f>Análises!F675</f>
        <v>0.56087410654441028</v>
      </c>
    </row>
    <row r="676" spans="1:10">
      <c r="A676" s="6" t="s">
        <v>174</v>
      </c>
      <c r="B676" s="7">
        <v>44871</v>
      </c>
      <c r="C676" s="6" t="s">
        <v>160</v>
      </c>
      <c r="D676" s="6" t="s">
        <v>3</v>
      </c>
      <c r="E676" s="6" t="s">
        <v>5</v>
      </c>
      <c r="F676" s="6">
        <v>65726</v>
      </c>
      <c r="G676" s="6">
        <v>850</v>
      </c>
      <c r="H676" s="12">
        <v>22120.000120000001</v>
      </c>
      <c r="I676" s="6">
        <v>0</v>
      </c>
      <c r="J676" s="11">
        <f>Análises!F676</f>
        <v>-1</v>
      </c>
    </row>
    <row r="677" spans="1:10">
      <c r="A677" s="6" t="s">
        <v>174</v>
      </c>
      <c r="B677" s="7">
        <v>44872</v>
      </c>
      <c r="C677" s="6" t="s">
        <v>160</v>
      </c>
      <c r="D677" s="6" t="s">
        <v>3</v>
      </c>
      <c r="E677" s="6" t="s">
        <v>5</v>
      </c>
      <c r="F677" s="6">
        <v>195220</v>
      </c>
      <c r="G677" s="6">
        <v>2550</v>
      </c>
      <c r="H677" s="12">
        <v>78060.000419999997</v>
      </c>
      <c r="I677" s="6">
        <v>0</v>
      </c>
      <c r="J677" s="11">
        <f>Análises!F677</f>
        <v>-1</v>
      </c>
    </row>
    <row r="678" spans="1:10">
      <c r="A678" s="6" t="s">
        <v>174</v>
      </c>
      <c r="B678" s="7">
        <v>44873</v>
      </c>
      <c r="C678" s="6" t="s">
        <v>160</v>
      </c>
      <c r="D678" s="6" t="s">
        <v>3</v>
      </c>
      <c r="E678" s="6" t="s">
        <v>5</v>
      </c>
      <c r="F678" s="6">
        <v>107501</v>
      </c>
      <c r="G678" s="6">
        <v>1350</v>
      </c>
      <c r="H678" s="12">
        <v>40879.999279999996</v>
      </c>
      <c r="I678" s="6">
        <v>0</v>
      </c>
      <c r="J678" s="11">
        <f>Análises!F678</f>
        <v>-1</v>
      </c>
    </row>
    <row r="679" spans="1:10">
      <c r="A679" s="6" t="s">
        <v>174</v>
      </c>
      <c r="B679" s="7">
        <v>44874</v>
      </c>
      <c r="C679" s="6" t="s">
        <v>160</v>
      </c>
      <c r="D679" s="6" t="s">
        <v>3</v>
      </c>
      <c r="E679" s="6" t="s">
        <v>5</v>
      </c>
      <c r="F679" s="6">
        <v>197772</v>
      </c>
      <c r="G679" s="6">
        <v>3150</v>
      </c>
      <c r="H679" s="12">
        <v>88210.000160000011</v>
      </c>
      <c r="I679" s="6">
        <v>450</v>
      </c>
      <c r="J679" s="11">
        <f>Análises!F679</f>
        <v>0.53043872299206196</v>
      </c>
    </row>
    <row r="680" spans="1:10">
      <c r="A680" s="6" t="s">
        <v>174</v>
      </c>
      <c r="B680" s="7">
        <v>44875</v>
      </c>
      <c r="C680" s="6" t="s">
        <v>160</v>
      </c>
      <c r="D680" s="6" t="s">
        <v>3</v>
      </c>
      <c r="E680" s="6" t="s">
        <v>5</v>
      </c>
      <c r="F680" s="6">
        <v>138154</v>
      </c>
      <c r="G680" s="6">
        <v>1750</v>
      </c>
      <c r="H680" s="12">
        <v>48939.998629999995</v>
      </c>
      <c r="I680" s="6">
        <v>100</v>
      </c>
      <c r="J680" s="11">
        <f>Análises!F680</f>
        <v>-0.38700447814050126</v>
      </c>
    </row>
    <row r="681" spans="1:10">
      <c r="A681" s="6" t="s">
        <v>174</v>
      </c>
      <c r="B681" s="7">
        <v>44876</v>
      </c>
      <c r="C681" s="6" t="s">
        <v>160</v>
      </c>
      <c r="D681" s="6" t="s">
        <v>3</v>
      </c>
      <c r="E681" s="6" t="s">
        <v>5</v>
      </c>
      <c r="F681" s="6">
        <v>270124</v>
      </c>
      <c r="G681" s="6">
        <v>3450</v>
      </c>
      <c r="H681" s="12">
        <v>95849.998949999994</v>
      </c>
      <c r="I681" s="6">
        <v>100</v>
      </c>
      <c r="J681" s="11">
        <f>Análises!F681</f>
        <v>-0.68701095118791333</v>
      </c>
    </row>
    <row r="682" spans="1:10">
      <c r="A682" s="6" t="s">
        <v>174</v>
      </c>
      <c r="B682" s="7">
        <v>44877</v>
      </c>
      <c r="C682" s="6" t="s">
        <v>160</v>
      </c>
      <c r="D682" s="6" t="s">
        <v>3</v>
      </c>
      <c r="E682" s="6" t="s">
        <v>5</v>
      </c>
      <c r="F682" s="6">
        <v>303971</v>
      </c>
      <c r="G682" s="6">
        <v>3850</v>
      </c>
      <c r="H682" s="12">
        <v>106929.99980000001</v>
      </c>
      <c r="I682" s="6">
        <v>850</v>
      </c>
      <c r="J682" s="11">
        <f>Análises!F682</f>
        <v>1.3847376833156975</v>
      </c>
    </row>
    <row r="683" spans="1:10">
      <c r="A683" s="6" t="s">
        <v>174</v>
      </c>
      <c r="B683" s="7">
        <v>44878</v>
      </c>
      <c r="C683" s="6" t="s">
        <v>160</v>
      </c>
      <c r="D683" s="6" t="s">
        <v>3</v>
      </c>
      <c r="E683" s="6" t="s">
        <v>5</v>
      </c>
      <c r="F683" s="6">
        <v>682046</v>
      </c>
      <c r="G683" s="6">
        <v>9150</v>
      </c>
      <c r="H683" s="12">
        <v>254419.997</v>
      </c>
      <c r="I683" s="6">
        <v>100</v>
      </c>
      <c r="J683" s="11">
        <f>Análises!F683</f>
        <v>-0.88208474037518358</v>
      </c>
    </row>
    <row r="684" spans="1:10">
      <c r="A684" s="6" t="s">
        <v>174</v>
      </c>
      <c r="B684" s="7">
        <v>44879</v>
      </c>
      <c r="C684" s="6" t="s">
        <v>160</v>
      </c>
      <c r="D684" s="6" t="s">
        <v>3</v>
      </c>
      <c r="E684" s="6" t="s">
        <v>5</v>
      </c>
      <c r="F684" s="6">
        <v>328365</v>
      </c>
      <c r="G684" s="6">
        <v>4150</v>
      </c>
      <c r="H684" s="12">
        <v>117340.00050000001</v>
      </c>
      <c r="I684" s="6">
        <v>400</v>
      </c>
      <c r="J684" s="11">
        <f>Análises!F684</f>
        <v>2.266916216691162E-2</v>
      </c>
    </row>
    <row r="685" spans="1:10">
      <c r="A685" s="6" t="s">
        <v>174</v>
      </c>
      <c r="B685" s="7">
        <v>44880</v>
      </c>
      <c r="C685" s="6" t="s">
        <v>160</v>
      </c>
      <c r="D685" s="6" t="s">
        <v>3</v>
      </c>
      <c r="E685" s="6" t="s">
        <v>5</v>
      </c>
      <c r="F685" s="6">
        <v>1083259</v>
      </c>
      <c r="G685" s="6">
        <v>13800</v>
      </c>
      <c r="H685" s="12">
        <v>390259.99919999996</v>
      </c>
      <c r="I685" s="6">
        <v>400</v>
      </c>
      <c r="J685" s="11">
        <f>Análises!F685</f>
        <v>-0.69251268322146808</v>
      </c>
    </row>
    <row r="686" spans="1:10">
      <c r="A686" s="6" t="s">
        <v>174</v>
      </c>
      <c r="B686" s="7">
        <v>44881</v>
      </c>
      <c r="C686" s="6" t="s">
        <v>160</v>
      </c>
      <c r="D686" s="6" t="s">
        <v>3</v>
      </c>
      <c r="E686" s="6" t="s">
        <v>5</v>
      </c>
      <c r="F686" s="6">
        <v>913929</v>
      </c>
      <c r="G686" s="6">
        <v>12250</v>
      </c>
      <c r="H686" s="12">
        <v>340409.99929999997</v>
      </c>
      <c r="I686" s="6">
        <v>500</v>
      </c>
      <c r="J686" s="11">
        <f>Análises!F686</f>
        <v>-0.55935489466099242</v>
      </c>
    </row>
    <row r="687" spans="1:10">
      <c r="A687" s="6" t="s">
        <v>174</v>
      </c>
      <c r="B687" s="7">
        <v>44882</v>
      </c>
      <c r="C687" s="6" t="s">
        <v>160</v>
      </c>
      <c r="D687" s="6" t="s">
        <v>3</v>
      </c>
      <c r="E687" s="6" t="s">
        <v>5</v>
      </c>
      <c r="F687" s="6">
        <v>101586</v>
      </c>
      <c r="G687" s="6">
        <v>1200</v>
      </c>
      <c r="H687" s="12">
        <v>33470.000390000001</v>
      </c>
      <c r="I687" s="6">
        <v>150</v>
      </c>
      <c r="J687" s="11">
        <f>Análises!F687</f>
        <v>0.34448758517029698</v>
      </c>
    </row>
    <row r="688" spans="1:10">
      <c r="A688" s="6" t="s">
        <v>174</v>
      </c>
      <c r="B688" s="7">
        <v>44883</v>
      </c>
      <c r="C688" s="6" t="s">
        <v>160</v>
      </c>
      <c r="D688" s="6" t="s">
        <v>3</v>
      </c>
      <c r="E688" s="6" t="s">
        <v>5</v>
      </c>
      <c r="F688" s="6">
        <v>181053</v>
      </c>
      <c r="G688" s="6">
        <v>2300</v>
      </c>
      <c r="H688" s="12">
        <v>66279.999849999993</v>
      </c>
      <c r="I688" s="6">
        <v>250</v>
      </c>
      <c r="J688" s="11">
        <f>Análises!F688</f>
        <v>0.13156306834240297</v>
      </c>
    </row>
    <row r="689" spans="1:10">
      <c r="A689" s="6" t="s">
        <v>174</v>
      </c>
      <c r="B689" s="7">
        <v>44884</v>
      </c>
      <c r="C689" s="6" t="s">
        <v>160</v>
      </c>
      <c r="D689" s="6" t="s">
        <v>3</v>
      </c>
      <c r="E689" s="6" t="s">
        <v>5</v>
      </c>
      <c r="F689" s="6">
        <v>133419</v>
      </c>
      <c r="G689" s="6">
        <v>1750</v>
      </c>
      <c r="H689" s="12">
        <v>48180.000070000002</v>
      </c>
      <c r="I689" s="6">
        <v>400</v>
      </c>
      <c r="J689" s="11">
        <f>Análises!F689</f>
        <v>1.4906600212879573</v>
      </c>
    </row>
    <row r="690" spans="1:10">
      <c r="A690" s="6" t="s">
        <v>174</v>
      </c>
      <c r="B690" s="7">
        <v>44885</v>
      </c>
      <c r="C690" s="6" t="s">
        <v>160</v>
      </c>
      <c r="D690" s="6" t="s">
        <v>3</v>
      </c>
      <c r="E690" s="6" t="s">
        <v>5</v>
      </c>
      <c r="F690" s="6">
        <v>489573</v>
      </c>
      <c r="G690" s="6">
        <v>5650</v>
      </c>
      <c r="H690" s="12">
        <v>156119.9993</v>
      </c>
      <c r="I690" s="6">
        <v>300</v>
      </c>
      <c r="J690" s="11">
        <f>Análises!F690</f>
        <v>-0.42352036636218454</v>
      </c>
    </row>
    <row r="691" spans="1:10">
      <c r="A691" s="6" t="s">
        <v>174</v>
      </c>
      <c r="B691" s="7">
        <v>44886</v>
      </c>
      <c r="C691" s="6" t="s">
        <v>160</v>
      </c>
      <c r="D691" s="6" t="s">
        <v>3</v>
      </c>
      <c r="E691" s="6" t="s">
        <v>5</v>
      </c>
      <c r="F691" s="6">
        <v>822023</v>
      </c>
      <c r="G691" s="6">
        <v>9700</v>
      </c>
      <c r="H691" s="12">
        <v>288330.00349999999</v>
      </c>
      <c r="I691" s="6">
        <v>350</v>
      </c>
      <c r="J691" s="11">
        <f>Análises!F691</f>
        <v>-0.63583394469733012</v>
      </c>
    </row>
    <row r="692" spans="1:10">
      <c r="A692" s="6" t="s">
        <v>174</v>
      </c>
      <c r="B692" s="7">
        <v>44887</v>
      </c>
      <c r="C692" s="6" t="s">
        <v>160</v>
      </c>
      <c r="D692" s="6" t="s">
        <v>3</v>
      </c>
      <c r="E692" s="6" t="s">
        <v>5</v>
      </c>
      <c r="F692" s="6">
        <v>93176</v>
      </c>
      <c r="G692" s="6">
        <v>1450</v>
      </c>
      <c r="H692" s="12">
        <v>40370.000240000001</v>
      </c>
      <c r="I692" s="6">
        <v>150</v>
      </c>
      <c r="J692" s="11">
        <f>Análises!F692</f>
        <v>0.11468911896147164</v>
      </c>
    </row>
    <row r="693" spans="1:10">
      <c r="A693" s="6" t="s">
        <v>174</v>
      </c>
      <c r="B693" s="7">
        <v>44888</v>
      </c>
      <c r="C693" s="6" t="s">
        <v>160</v>
      </c>
      <c r="D693" s="6" t="s">
        <v>3</v>
      </c>
      <c r="E693" s="6" t="s">
        <v>5</v>
      </c>
      <c r="F693" s="6">
        <v>47229</v>
      </c>
      <c r="G693" s="6">
        <v>650</v>
      </c>
      <c r="H693" s="12">
        <v>19279.99985</v>
      </c>
      <c r="I693" s="6">
        <v>250</v>
      </c>
      <c r="J693" s="11">
        <f>Análises!F693</f>
        <v>2.8900415240407793</v>
      </c>
    </row>
    <row r="694" spans="1:10">
      <c r="A694" s="6" t="s">
        <v>174</v>
      </c>
      <c r="B694" s="7">
        <v>44889</v>
      </c>
      <c r="C694" s="6" t="s">
        <v>160</v>
      </c>
      <c r="D694" s="6" t="s">
        <v>3</v>
      </c>
      <c r="E694" s="6" t="s">
        <v>5</v>
      </c>
      <c r="F694" s="6">
        <v>92263</v>
      </c>
      <c r="G694" s="6">
        <v>1200</v>
      </c>
      <c r="H694" s="12">
        <v>34030.00015</v>
      </c>
      <c r="I694" s="6">
        <v>150</v>
      </c>
      <c r="J694" s="11">
        <f>Análises!F694</f>
        <v>0.32236261538776395</v>
      </c>
    </row>
    <row r="695" spans="1:10">
      <c r="A695" s="6" t="s">
        <v>174</v>
      </c>
      <c r="B695" s="7">
        <v>44890</v>
      </c>
      <c r="C695" s="6" t="s">
        <v>160</v>
      </c>
      <c r="D695" s="6" t="s">
        <v>3</v>
      </c>
      <c r="E695" s="6" t="s">
        <v>5</v>
      </c>
      <c r="F695" s="6">
        <v>81551</v>
      </c>
      <c r="G695" s="6">
        <v>1050</v>
      </c>
      <c r="H695" s="12">
        <v>29670.000080000002</v>
      </c>
      <c r="I695" s="6">
        <v>50</v>
      </c>
      <c r="J695" s="11">
        <f>Análises!F695</f>
        <v>-0.49443882846123677</v>
      </c>
    </row>
    <row r="696" spans="1:10">
      <c r="A696" s="6" t="s">
        <v>174</v>
      </c>
      <c r="B696" s="7">
        <v>44891</v>
      </c>
      <c r="C696" s="6" t="s">
        <v>160</v>
      </c>
      <c r="D696" s="6" t="s">
        <v>3</v>
      </c>
      <c r="E696" s="6" t="s">
        <v>5</v>
      </c>
      <c r="F696" s="6">
        <v>141037</v>
      </c>
      <c r="G696" s="6">
        <v>1600</v>
      </c>
      <c r="H696" s="12">
        <v>47789.999129999997</v>
      </c>
      <c r="I696" s="6">
        <v>150</v>
      </c>
      <c r="J696" s="11">
        <f>Análises!F696</f>
        <v>-5.8380397170766735E-2</v>
      </c>
    </row>
    <row r="697" spans="1:10">
      <c r="A697" s="6" t="s">
        <v>174</v>
      </c>
      <c r="B697" s="7">
        <v>44892</v>
      </c>
      <c r="C697" s="6" t="s">
        <v>160</v>
      </c>
      <c r="D697" s="6" t="s">
        <v>3</v>
      </c>
      <c r="E697" s="6" t="s">
        <v>5</v>
      </c>
      <c r="F697" s="6">
        <v>319501</v>
      </c>
      <c r="G697" s="6">
        <v>3950</v>
      </c>
      <c r="H697" s="12">
        <v>111650.0003</v>
      </c>
      <c r="I697" s="6">
        <v>50</v>
      </c>
      <c r="J697" s="11">
        <f>Análises!F697</f>
        <v>-0.86565159015051074</v>
      </c>
    </row>
    <row r="698" spans="1:10">
      <c r="A698" s="6" t="s">
        <v>174</v>
      </c>
      <c r="B698" s="7">
        <v>44893</v>
      </c>
      <c r="C698" s="6" t="s">
        <v>160</v>
      </c>
      <c r="D698" s="6" t="s">
        <v>3</v>
      </c>
      <c r="E698" s="6" t="s">
        <v>5</v>
      </c>
      <c r="F698" s="6">
        <v>72741</v>
      </c>
      <c r="G698" s="6">
        <v>950</v>
      </c>
      <c r="H698" s="12">
        <v>24330.00016</v>
      </c>
      <c r="I698" s="6">
        <v>50</v>
      </c>
      <c r="J698" s="11">
        <f>Análises!F698</f>
        <v>-0.38347719271038427</v>
      </c>
    </row>
    <row r="699" spans="1:10">
      <c r="A699" s="6" t="s">
        <v>174</v>
      </c>
      <c r="B699" s="7">
        <v>44894</v>
      </c>
      <c r="C699" s="6" t="s">
        <v>160</v>
      </c>
      <c r="D699" s="6" t="s">
        <v>3</v>
      </c>
      <c r="E699" s="6" t="s">
        <v>5</v>
      </c>
      <c r="F699" s="6">
        <v>597419</v>
      </c>
      <c r="G699" s="6">
        <v>6750</v>
      </c>
      <c r="H699" s="12">
        <v>188510.00020000001</v>
      </c>
      <c r="I699" s="6">
        <v>150</v>
      </c>
      <c r="J699" s="11">
        <f>Análises!F699</f>
        <v>-0.76128587368172951</v>
      </c>
    </row>
    <row r="700" spans="1:10">
      <c r="A700" s="6" t="s">
        <v>174</v>
      </c>
      <c r="B700" s="7">
        <v>44895</v>
      </c>
      <c r="C700" s="6" t="s">
        <v>160</v>
      </c>
      <c r="D700" s="6" t="s">
        <v>3</v>
      </c>
      <c r="E700" s="6" t="s">
        <v>5</v>
      </c>
      <c r="F700" s="6">
        <v>98768</v>
      </c>
      <c r="G700" s="6">
        <v>1050</v>
      </c>
      <c r="H700" s="12">
        <v>33140.000339999999</v>
      </c>
      <c r="I700" s="6">
        <v>50</v>
      </c>
      <c r="J700" s="11">
        <f>Análises!F700</f>
        <v>-0.5473747783310976</v>
      </c>
    </row>
    <row r="701" spans="1:10">
      <c r="A701" s="6" t="s">
        <v>174</v>
      </c>
      <c r="B701" s="7">
        <v>44896</v>
      </c>
      <c r="C701" s="6" t="s">
        <v>160</v>
      </c>
      <c r="D701" s="6" t="s">
        <v>3</v>
      </c>
      <c r="E701" s="6" t="s">
        <v>5</v>
      </c>
      <c r="F701" s="6">
        <v>173165</v>
      </c>
      <c r="G701" s="6">
        <v>2050</v>
      </c>
      <c r="H701" s="12">
        <v>59850.000260000001</v>
      </c>
      <c r="I701" s="6">
        <v>200</v>
      </c>
      <c r="J701" s="11">
        <f>Análises!F701</f>
        <v>2.5062613090788863E-3</v>
      </c>
    </row>
    <row r="702" spans="1:10">
      <c r="A702" s="6" t="s">
        <v>174</v>
      </c>
      <c r="B702" s="7">
        <v>44897</v>
      </c>
      <c r="C702" s="6" t="s">
        <v>160</v>
      </c>
      <c r="D702" s="6" t="s">
        <v>3</v>
      </c>
      <c r="E702" s="6" t="s">
        <v>5</v>
      </c>
      <c r="F702" s="6">
        <v>55823</v>
      </c>
      <c r="G702" s="6">
        <v>650</v>
      </c>
      <c r="H702" s="12">
        <v>21109.999660000001</v>
      </c>
      <c r="I702" s="6">
        <v>100</v>
      </c>
      <c r="J702" s="11">
        <f>Análises!F702</f>
        <v>0.4211274506481919</v>
      </c>
    </row>
    <row r="703" spans="1:10">
      <c r="A703" s="6" t="s">
        <v>174</v>
      </c>
      <c r="B703" s="7">
        <v>44898</v>
      </c>
      <c r="C703" s="6" t="s">
        <v>160</v>
      </c>
      <c r="D703" s="6" t="s">
        <v>3</v>
      </c>
      <c r="E703" s="6" t="s">
        <v>5</v>
      </c>
      <c r="F703" s="6">
        <v>118451</v>
      </c>
      <c r="G703" s="6">
        <v>1400</v>
      </c>
      <c r="H703" s="12">
        <v>38350.000620000006</v>
      </c>
      <c r="I703" s="6">
        <v>450</v>
      </c>
      <c r="J703" s="11">
        <f>Análises!F703</f>
        <v>2.5202085480435641</v>
      </c>
    </row>
    <row r="704" spans="1:10">
      <c r="A704" s="6" t="s">
        <v>174</v>
      </c>
      <c r="B704" s="7">
        <v>44899</v>
      </c>
      <c r="C704" s="6" t="s">
        <v>160</v>
      </c>
      <c r="D704" s="6" t="s">
        <v>3</v>
      </c>
      <c r="E704" s="6" t="s">
        <v>5</v>
      </c>
      <c r="F704" s="6">
        <v>74424</v>
      </c>
      <c r="G704" s="6">
        <v>1100</v>
      </c>
      <c r="H704" s="12">
        <v>30840.00027</v>
      </c>
      <c r="I704" s="6">
        <v>200</v>
      </c>
      <c r="J704" s="11">
        <f>Análises!F704</f>
        <v>0.94552527479598492</v>
      </c>
    </row>
    <row r="705" spans="1:10">
      <c r="A705" s="6" t="s">
        <v>174</v>
      </c>
      <c r="B705" s="7">
        <v>44900</v>
      </c>
      <c r="C705" s="6" t="s">
        <v>160</v>
      </c>
      <c r="D705" s="6" t="s">
        <v>3</v>
      </c>
      <c r="E705" s="6" t="s">
        <v>5</v>
      </c>
      <c r="F705" s="6">
        <v>47929</v>
      </c>
      <c r="G705" s="6">
        <v>600</v>
      </c>
      <c r="H705" s="12">
        <v>14589.999909999999</v>
      </c>
      <c r="I705" s="6">
        <v>0</v>
      </c>
      <c r="J705" s="11">
        <f>Análises!F705</f>
        <v>-1</v>
      </c>
    </row>
    <row r="706" spans="1:10">
      <c r="A706" s="6" t="s">
        <v>174</v>
      </c>
      <c r="B706" s="7">
        <v>44901</v>
      </c>
      <c r="C706" s="6" t="s">
        <v>160</v>
      </c>
      <c r="D706" s="6" t="s">
        <v>3</v>
      </c>
      <c r="E706" s="6" t="s">
        <v>5</v>
      </c>
      <c r="F706" s="6">
        <v>40801</v>
      </c>
      <c r="G706" s="6">
        <v>600</v>
      </c>
      <c r="H706" s="12">
        <v>15919.99972</v>
      </c>
      <c r="I706" s="6">
        <v>250</v>
      </c>
      <c r="J706" s="11">
        <f>Análises!F706</f>
        <v>3.7110553592396673</v>
      </c>
    </row>
    <row r="707" spans="1:10">
      <c r="A707" s="6" t="s">
        <v>174</v>
      </c>
      <c r="B707" s="7">
        <v>44902</v>
      </c>
      <c r="C707" s="6" t="s">
        <v>160</v>
      </c>
      <c r="D707" s="6" t="s">
        <v>3</v>
      </c>
      <c r="E707" s="6" t="s">
        <v>5</v>
      </c>
      <c r="F707" s="6">
        <v>66017</v>
      </c>
      <c r="G707" s="6">
        <v>850</v>
      </c>
      <c r="H707" s="12">
        <v>24220.00015</v>
      </c>
      <c r="I707" s="6">
        <v>100</v>
      </c>
      <c r="J707" s="11">
        <f>Análises!F707</f>
        <v>0.23864573964505117</v>
      </c>
    </row>
    <row r="708" spans="1:10">
      <c r="A708" s="6" t="s">
        <v>174</v>
      </c>
      <c r="B708" s="7">
        <v>44903</v>
      </c>
      <c r="C708" s="6" t="s">
        <v>160</v>
      </c>
      <c r="D708" s="6" t="s">
        <v>3</v>
      </c>
      <c r="E708" s="6" t="s">
        <v>5</v>
      </c>
      <c r="F708" s="6">
        <v>834243</v>
      </c>
      <c r="G708" s="6">
        <v>8300</v>
      </c>
      <c r="H708" s="12">
        <v>246749.9975</v>
      </c>
      <c r="I708" s="6">
        <v>1350</v>
      </c>
      <c r="J708" s="11">
        <f>Análises!F708</f>
        <v>0.64133740264779537</v>
      </c>
    </row>
    <row r="709" spans="1:10">
      <c r="A709" s="6" t="s">
        <v>174</v>
      </c>
      <c r="B709" s="7">
        <v>44904</v>
      </c>
      <c r="C709" s="6" t="s">
        <v>160</v>
      </c>
      <c r="D709" s="6" t="s">
        <v>3</v>
      </c>
      <c r="E709" s="6" t="s">
        <v>5</v>
      </c>
      <c r="F709" s="6">
        <v>696612</v>
      </c>
      <c r="G709" s="6">
        <v>7600</v>
      </c>
      <c r="H709" s="12">
        <v>223189.99479999999</v>
      </c>
      <c r="I709" s="6">
        <v>1800</v>
      </c>
      <c r="J709" s="11">
        <f>Análises!F709</f>
        <v>1.419463293970201</v>
      </c>
    </row>
    <row r="710" spans="1:10">
      <c r="A710" s="6" t="s">
        <v>174</v>
      </c>
      <c r="B710" s="7">
        <v>44905</v>
      </c>
      <c r="C710" s="6" t="s">
        <v>160</v>
      </c>
      <c r="D710" s="6" t="s">
        <v>3</v>
      </c>
      <c r="E710" s="6" t="s">
        <v>5</v>
      </c>
      <c r="F710" s="6">
        <v>329333</v>
      </c>
      <c r="G710" s="6">
        <v>2400</v>
      </c>
      <c r="H710" s="12">
        <v>67609.999179999999</v>
      </c>
      <c r="I710" s="6">
        <v>100</v>
      </c>
      <c r="J710" s="11">
        <f>Análises!F710</f>
        <v>-0.55627865162177925</v>
      </c>
    </row>
    <row r="711" spans="1:10">
      <c r="A711" s="6" t="s">
        <v>174</v>
      </c>
      <c r="B711" s="7">
        <v>44906</v>
      </c>
      <c r="C711" s="6" t="s">
        <v>160</v>
      </c>
      <c r="D711" s="6" t="s">
        <v>3</v>
      </c>
      <c r="E711" s="6" t="s">
        <v>5</v>
      </c>
      <c r="F711" s="6">
        <v>1114711</v>
      </c>
      <c r="G711" s="6">
        <v>11200</v>
      </c>
      <c r="H711" s="12">
        <v>319000.00189999997</v>
      </c>
      <c r="I711" s="6">
        <v>300</v>
      </c>
      <c r="J711" s="11">
        <f>Análises!F711</f>
        <v>-0.71786834023840174</v>
      </c>
    </row>
    <row r="712" spans="1:10">
      <c r="A712" s="6" t="s">
        <v>174</v>
      </c>
      <c r="B712" s="7">
        <v>44907</v>
      </c>
      <c r="C712" s="6" t="s">
        <v>160</v>
      </c>
      <c r="D712" s="6" t="s">
        <v>3</v>
      </c>
      <c r="E712" s="6" t="s">
        <v>5</v>
      </c>
      <c r="F712" s="6">
        <v>267316</v>
      </c>
      <c r="G712" s="6">
        <v>2900</v>
      </c>
      <c r="H712" s="12">
        <v>82929.99887000001</v>
      </c>
      <c r="I712" s="6">
        <v>350</v>
      </c>
      <c r="J712" s="11">
        <f>Análises!F712</f>
        <v>0.26612807706167507</v>
      </c>
    </row>
    <row r="713" spans="1:10">
      <c r="A713" s="6" t="s">
        <v>174</v>
      </c>
      <c r="B713" s="7">
        <v>44908</v>
      </c>
      <c r="C713" s="6" t="s">
        <v>160</v>
      </c>
      <c r="D713" s="6" t="s">
        <v>3</v>
      </c>
      <c r="E713" s="6" t="s">
        <v>5</v>
      </c>
      <c r="F713" s="6">
        <v>228629</v>
      </c>
      <c r="G713" s="6">
        <v>1900</v>
      </c>
      <c r="H713" s="12">
        <v>57000</v>
      </c>
      <c r="I713" s="6">
        <v>150</v>
      </c>
      <c r="J713" s="11">
        <f>Análises!F713</f>
        <v>-0.21052631578947367</v>
      </c>
    </row>
    <row r="714" spans="1:10">
      <c r="A714" s="6" t="s">
        <v>174</v>
      </c>
      <c r="B714" s="7">
        <v>44909</v>
      </c>
      <c r="C714" s="6" t="s">
        <v>160</v>
      </c>
      <c r="D714" s="6" t="s">
        <v>3</v>
      </c>
      <c r="E714" s="6" t="s">
        <v>5</v>
      </c>
      <c r="F714" s="6">
        <v>758340</v>
      </c>
      <c r="G714" s="6">
        <v>7950</v>
      </c>
      <c r="H714" s="12">
        <v>233110.00200000001</v>
      </c>
      <c r="I714" s="6">
        <v>900</v>
      </c>
      <c r="J714" s="11">
        <f>Análises!F714</f>
        <v>0.15825145932605669</v>
      </c>
    </row>
    <row r="715" spans="1:10">
      <c r="A715" s="6" t="s">
        <v>174</v>
      </c>
      <c r="B715" s="7">
        <v>44910</v>
      </c>
      <c r="C715" s="6" t="s">
        <v>160</v>
      </c>
      <c r="D715" s="6" t="s">
        <v>3</v>
      </c>
      <c r="E715" s="6" t="s">
        <v>5</v>
      </c>
      <c r="F715" s="6">
        <v>877535</v>
      </c>
      <c r="G715" s="6">
        <v>7450</v>
      </c>
      <c r="H715" s="12">
        <v>217779.99660000001</v>
      </c>
      <c r="I715" s="6">
        <v>250</v>
      </c>
      <c r="J715" s="11">
        <f>Análises!F715</f>
        <v>-0.65561575364631075</v>
      </c>
    </row>
    <row r="716" spans="1:10">
      <c r="A716" s="6" t="s">
        <v>174</v>
      </c>
      <c r="B716" s="7">
        <v>44911</v>
      </c>
      <c r="C716" s="6" t="s">
        <v>160</v>
      </c>
      <c r="D716" s="6" t="s">
        <v>3</v>
      </c>
      <c r="E716" s="6" t="s">
        <v>5</v>
      </c>
      <c r="F716" s="6">
        <v>1357386</v>
      </c>
      <c r="G716" s="6">
        <v>11150</v>
      </c>
      <c r="H716" s="12">
        <v>323060.00709999999</v>
      </c>
      <c r="I716" s="6">
        <v>450</v>
      </c>
      <c r="J716" s="11">
        <f>Análises!F716</f>
        <v>-0.58212097742506363</v>
      </c>
    </row>
    <row r="717" spans="1:10">
      <c r="A717" s="6" t="s">
        <v>174</v>
      </c>
      <c r="B717" s="7">
        <v>44912</v>
      </c>
      <c r="C717" s="6" t="s">
        <v>160</v>
      </c>
      <c r="D717" s="6" t="s">
        <v>3</v>
      </c>
      <c r="E717" s="6" t="s">
        <v>5</v>
      </c>
      <c r="F717" s="6">
        <v>280240</v>
      </c>
      <c r="G717" s="6">
        <v>3050</v>
      </c>
      <c r="H717" s="12">
        <v>87990.001680000001</v>
      </c>
      <c r="I717" s="6">
        <v>200</v>
      </c>
      <c r="J717" s="11">
        <f>Análises!F717</f>
        <v>-0.31810434305699176</v>
      </c>
    </row>
    <row r="718" spans="1:10">
      <c r="A718" s="6" t="s">
        <v>174</v>
      </c>
      <c r="B718" s="7">
        <v>44913</v>
      </c>
      <c r="C718" s="6" t="s">
        <v>160</v>
      </c>
      <c r="D718" s="6" t="s">
        <v>3</v>
      </c>
      <c r="E718" s="6" t="s">
        <v>5</v>
      </c>
      <c r="F718" s="6">
        <v>419922</v>
      </c>
      <c r="G718" s="6">
        <v>3750</v>
      </c>
      <c r="H718" s="12">
        <v>105450.00079999999</v>
      </c>
      <c r="I718" s="6">
        <v>150</v>
      </c>
      <c r="J718" s="11">
        <f>Análises!F718</f>
        <v>-0.5732574712318067</v>
      </c>
    </row>
    <row r="719" spans="1:10">
      <c r="A719" s="6" t="s">
        <v>174</v>
      </c>
      <c r="B719" s="7">
        <v>44914</v>
      </c>
      <c r="C719" s="6" t="s">
        <v>160</v>
      </c>
      <c r="D719" s="6" t="s">
        <v>3</v>
      </c>
      <c r="E719" s="6" t="s">
        <v>5</v>
      </c>
      <c r="F719" s="6">
        <v>402975</v>
      </c>
      <c r="G719" s="6">
        <v>4150</v>
      </c>
      <c r="H719" s="12">
        <v>120899.99770000001</v>
      </c>
      <c r="I719" s="6">
        <v>0</v>
      </c>
      <c r="J719" s="11">
        <f>Análises!F719</f>
        <v>-1</v>
      </c>
    </row>
    <row r="720" spans="1:10">
      <c r="A720" s="6" t="s">
        <v>174</v>
      </c>
      <c r="B720" s="7">
        <v>44915</v>
      </c>
      <c r="C720" s="6" t="s">
        <v>160</v>
      </c>
      <c r="D720" s="6" t="s">
        <v>3</v>
      </c>
      <c r="E720" s="6" t="s">
        <v>5</v>
      </c>
      <c r="F720" s="6">
        <v>1137635</v>
      </c>
      <c r="G720" s="6">
        <v>10550</v>
      </c>
      <c r="H720" s="12">
        <v>301049.99920000002</v>
      </c>
      <c r="I720" s="6">
        <v>1900</v>
      </c>
      <c r="J720" s="11">
        <f>Análises!F720</f>
        <v>0.89337319885300959</v>
      </c>
    </row>
    <row r="721" spans="1:10">
      <c r="A721" s="6" t="s">
        <v>174</v>
      </c>
      <c r="B721" s="7">
        <v>44916</v>
      </c>
      <c r="C721" s="6" t="s">
        <v>160</v>
      </c>
      <c r="D721" s="6" t="s">
        <v>3</v>
      </c>
      <c r="E721" s="6" t="s">
        <v>5</v>
      </c>
      <c r="F721" s="6">
        <v>250234</v>
      </c>
      <c r="G721" s="6">
        <v>2000</v>
      </c>
      <c r="H721" s="12">
        <v>62319.999219999998</v>
      </c>
      <c r="I721" s="6">
        <v>150</v>
      </c>
      <c r="J721" s="11">
        <f>Análises!F721</f>
        <v>-0.27792040174547356</v>
      </c>
    </row>
    <row r="722" spans="1:10">
      <c r="A722" s="6" t="s">
        <v>175</v>
      </c>
      <c r="B722" s="7">
        <v>44917</v>
      </c>
      <c r="C722" s="6" t="s">
        <v>160</v>
      </c>
      <c r="D722" s="6" t="s">
        <v>3</v>
      </c>
      <c r="E722" s="6" t="s">
        <v>1</v>
      </c>
      <c r="F722" s="6">
        <v>621591</v>
      </c>
      <c r="G722" s="6">
        <v>4550</v>
      </c>
      <c r="H722" s="12">
        <v>163360</v>
      </c>
      <c r="I722" s="6">
        <v>750</v>
      </c>
      <c r="J722" s="11">
        <f>Análises!F722</f>
        <v>0.37732615083251714</v>
      </c>
    </row>
    <row r="723" spans="1:10">
      <c r="A723" s="6" t="s">
        <v>175</v>
      </c>
      <c r="B723" s="7">
        <v>44918</v>
      </c>
      <c r="C723" s="6" t="s">
        <v>160</v>
      </c>
      <c r="D723" s="6" t="s">
        <v>3</v>
      </c>
      <c r="E723" s="6" t="s">
        <v>1</v>
      </c>
      <c r="F723" s="6">
        <v>250499</v>
      </c>
      <c r="G723" s="6">
        <v>1800</v>
      </c>
      <c r="H723" s="12">
        <v>58140.000049999995</v>
      </c>
      <c r="I723" s="6">
        <v>600</v>
      </c>
      <c r="J723" s="11">
        <f>Análises!F723</f>
        <v>2.0959752295356253</v>
      </c>
    </row>
    <row r="724" spans="1:10">
      <c r="A724" s="6" t="s">
        <v>175</v>
      </c>
      <c r="B724" s="7">
        <v>44919</v>
      </c>
      <c r="C724" s="6" t="s">
        <v>160</v>
      </c>
      <c r="D724" s="6" t="s">
        <v>3</v>
      </c>
      <c r="E724" s="6" t="s">
        <v>1</v>
      </c>
      <c r="F724" s="6">
        <v>131637</v>
      </c>
      <c r="G724" s="6">
        <v>900</v>
      </c>
      <c r="H724" s="12">
        <v>29309.999820000001</v>
      </c>
      <c r="I724" s="6">
        <v>550</v>
      </c>
      <c r="J724" s="11">
        <f>Análises!F724</f>
        <v>4.6294780284307757</v>
      </c>
    </row>
    <row r="725" spans="1:10">
      <c r="A725" s="6" t="s">
        <v>175</v>
      </c>
      <c r="B725" s="7">
        <v>44920</v>
      </c>
      <c r="C725" s="6" t="s">
        <v>160</v>
      </c>
      <c r="D725" s="6" t="s">
        <v>3</v>
      </c>
      <c r="E725" s="6" t="s">
        <v>1</v>
      </c>
      <c r="F725" s="6">
        <v>463813</v>
      </c>
      <c r="G725" s="6">
        <v>3450</v>
      </c>
      <c r="H725" s="12">
        <v>116339.9996</v>
      </c>
      <c r="I725" s="6">
        <v>650</v>
      </c>
      <c r="J725" s="11">
        <f>Análises!F725</f>
        <v>0.67612171798563425</v>
      </c>
    </row>
    <row r="726" spans="1:10">
      <c r="A726" s="6" t="s">
        <v>175</v>
      </c>
      <c r="B726" s="7">
        <v>44921</v>
      </c>
      <c r="C726" s="6" t="s">
        <v>160</v>
      </c>
      <c r="D726" s="6" t="s">
        <v>3</v>
      </c>
      <c r="E726" s="6" t="s">
        <v>1</v>
      </c>
      <c r="F726" s="6">
        <v>211767</v>
      </c>
      <c r="G726" s="6">
        <v>1750</v>
      </c>
      <c r="H726" s="12">
        <v>60899.99914</v>
      </c>
      <c r="I726" s="6">
        <v>700</v>
      </c>
      <c r="J726" s="11">
        <f>Análises!F726</f>
        <v>2.4482759107638308</v>
      </c>
    </row>
    <row r="727" spans="1:10">
      <c r="A727" s="6" t="s">
        <v>175</v>
      </c>
      <c r="B727" s="7">
        <v>44922</v>
      </c>
      <c r="C727" s="6" t="s">
        <v>160</v>
      </c>
      <c r="D727" s="6" t="s">
        <v>3</v>
      </c>
      <c r="E727" s="6" t="s">
        <v>1</v>
      </c>
      <c r="F727" s="6">
        <v>163181</v>
      </c>
      <c r="G727" s="6">
        <v>1300</v>
      </c>
      <c r="H727" s="12">
        <v>40020.000930000002</v>
      </c>
      <c r="I727" s="6">
        <v>500</v>
      </c>
      <c r="J727" s="11">
        <f>Análises!F727</f>
        <v>2.7481258499311081</v>
      </c>
    </row>
    <row r="728" spans="1:10">
      <c r="A728" s="6" t="s">
        <v>175</v>
      </c>
      <c r="B728" s="7">
        <v>44923</v>
      </c>
      <c r="C728" s="6" t="s">
        <v>160</v>
      </c>
      <c r="D728" s="6" t="s">
        <v>3</v>
      </c>
      <c r="E728" s="6" t="s">
        <v>1</v>
      </c>
      <c r="F728" s="6">
        <v>1117385</v>
      </c>
      <c r="G728" s="6">
        <v>7350</v>
      </c>
      <c r="H728" s="12">
        <v>260069.99839999998</v>
      </c>
      <c r="I728" s="6">
        <v>1050</v>
      </c>
      <c r="J728" s="11">
        <f>Análises!F728</f>
        <v>0.21121237335309653</v>
      </c>
    </row>
    <row r="729" spans="1:10">
      <c r="A729" s="6" t="s">
        <v>175</v>
      </c>
      <c r="B729" s="7">
        <v>44924</v>
      </c>
      <c r="C729" s="6" t="s">
        <v>160</v>
      </c>
      <c r="D729" s="6" t="s">
        <v>3</v>
      </c>
      <c r="E729" s="6" t="s">
        <v>1</v>
      </c>
      <c r="F729" s="6">
        <v>1663441</v>
      </c>
      <c r="G729" s="6">
        <v>10250</v>
      </c>
      <c r="H729" s="12">
        <v>359470.0001</v>
      </c>
      <c r="I729" s="6">
        <v>1550</v>
      </c>
      <c r="J729" s="11">
        <f>Análises!F729</f>
        <v>0.2935710904126711</v>
      </c>
    </row>
    <row r="730" spans="1:10">
      <c r="A730" s="6" t="s">
        <v>175</v>
      </c>
      <c r="B730" s="7">
        <v>44925</v>
      </c>
      <c r="C730" s="6" t="s">
        <v>160</v>
      </c>
      <c r="D730" s="6" t="s">
        <v>3</v>
      </c>
      <c r="E730" s="6" t="s">
        <v>1</v>
      </c>
      <c r="F730" s="6">
        <v>455248</v>
      </c>
      <c r="G730" s="6">
        <v>2700</v>
      </c>
      <c r="H730" s="12">
        <v>105709.99960000001</v>
      </c>
      <c r="I730" s="6">
        <v>750</v>
      </c>
      <c r="J730" s="11">
        <f>Análises!F730</f>
        <v>1.1284646755404961</v>
      </c>
    </row>
    <row r="731" spans="1:10">
      <c r="A731" s="6" t="s">
        <v>175</v>
      </c>
      <c r="B731" s="7">
        <v>44926</v>
      </c>
      <c r="C731" s="6" t="s">
        <v>160</v>
      </c>
      <c r="D731" s="6" t="s">
        <v>3</v>
      </c>
      <c r="E731" s="6" t="s">
        <v>1</v>
      </c>
      <c r="F731" s="6">
        <v>75589</v>
      </c>
      <c r="G731" s="6">
        <v>300</v>
      </c>
      <c r="H731" s="12">
        <v>10660.000090000001</v>
      </c>
      <c r="I731" s="6">
        <v>500</v>
      </c>
      <c r="J731" s="11">
        <f>Análises!F731</f>
        <v>13.07129444029864</v>
      </c>
    </row>
    <row r="732" spans="1:10">
      <c r="A732" s="6" t="s">
        <v>175</v>
      </c>
      <c r="B732" s="7">
        <v>44562</v>
      </c>
      <c r="C732" s="6" t="s">
        <v>160</v>
      </c>
      <c r="D732" s="6" t="s">
        <v>3</v>
      </c>
      <c r="E732" s="6" t="s">
        <v>1</v>
      </c>
      <c r="F732" s="6">
        <v>594267</v>
      </c>
      <c r="G732" s="6">
        <v>4100</v>
      </c>
      <c r="H732" s="12">
        <v>143300.00089999998</v>
      </c>
      <c r="I732" s="6">
        <v>650</v>
      </c>
      <c r="J732" s="11">
        <f>Análises!F732</f>
        <v>0.36078156856452626</v>
      </c>
    </row>
    <row r="733" spans="1:10">
      <c r="A733" s="6" t="s">
        <v>175</v>
      </c>
      <c r="B733" s="7">
        <v>44563</v>
      </c>
      <c r="C733" s="6" t="s">
        <v>160</v>
      </c>
      <c r="D733" s="6" t="s">
        <v>3</v>
      </c>
      <c r="E733" s="6" t="s">
        <v>1</v>
      </c>
      <c r="F733" s="6">
        <v>315281</v>
      </c>
      <c r="G733" s="6">
        <v>1750</v>
      </c>
      <c r="H733" s="12">
        <v>65029.998539999993</v>
      </c>
      <c r="I733" s="6">
        <v>450</v>
      </c>
      <c r="J733" s="11">
        <f>Análises!F733</f>
        <v>1.0759649858666598</v>
      </c>
    </row>
    <row r="734" spans="1:10">
      <c r="A734" s="6" t="s">
        <v>175</v>
      </c>
      <c r="B734" s="7">
        <v>44564</v>
      </c>
      <c r="C734" s="6" t="s">
        <v>160</v>
      </c>
      <c r="D734" s="6" t="s">
        <v>3</v>
      </c>
      <c r="E734" s="6" t="s">
        <v>1</v>
      </c>
      <c r="F734" s="6">
        <v>363456</v>
      </c>
      <c r="G734" s="6">
        <v>3550</v>
      </c>
      <c r="H734" s="12">
        <v>117559.9997</v>
      </c>
      <c r="I734" s="6">
        <v>800</v>
      </c>
      <c r="J734" s="11">
        <f>Análises!F734</f>
        <v>1.0415107231409766</v>
      </c>
    </row>
    <row r="735" spans="1:10">
      <c r="A735" s="6" t="s">
        <v>175</v>
      </c>
      <c r="B735" s="7">
        <v>44565</v>
      </c>
      <c r="C735" s="6" t="s">
        <v>160</v>
      </c>
      <c r="D735" s="6" t="s">
        <v>3</v>
      </c>
      <c r="E735" s="6" t="s">
        <v>1</v>
      </c>
      <c r="F735" s="6">
        <v>438983</v>
      </c>
      <c r="G735" s="6">
        <v>4050</v>
      </c>
      <c r="H735" s="12">
        <v>143430.0001</v>
      </c>
      <c r="I735" s="6">
        <v>600</v>
      </c>
      <c r="J735" s="11">
        <f>Análises!F735</f>
        <v>0.25496757912921453</v>
      </c>
    </row>
    <row r="736" spans="1:10">
      <c r="A736" s="6" t="s">
        <v>175</v>
      </c>
      <c r="B736" s="7">
        <v>44566</v>
      </c>
      <c r="C736" s="6" t="s">
        <v>160</v>
      </c>
      <c r="D736" s="6" t="s">
        <v>3</v>
      </c>
      <c r="E736" s="6" t="s">
        <v>1</v>
      </c>
      <c r="F736" s="6">
        <v>42563</v>
      </c>
      <c r="G736" s="6">
        <v>250</v>
      </c>
      <c r="H736" s="12">
        <v>9659.9998469999991</v>
      </c>
      <c r="I736" s="6">
        <v>500</v>
      </c>
      <c r="J736" s="11">
        <f>Análises!F736</f>
        <v>14.527950556498597</v>
      </c>
    </row>
    <row r="737" spans="1:10">
      <c r="A737" s="6" t="s">
        <v>175</v>
      </c>
      <c r="B737" s="7">
        <v>44567</v>
      </c>
      <c r="C737" s="6" t="s">
        <v>160</v>
      </c>
      <c r="D737" s="6" t="s">
        <v>3</v>
      </c>
      <c r="E737" s="6" t="s">
        <v>1</v>
      </c>
      <c r="F737" s="6">
        <v>399035</v>
      </c>
      <c r="G737" s="6">
        <v>3750</v>
      </c>
      <c r="H737" s="12">
        <v>124799.99950000001</v>
      </c>
      <c r="I737" s="6">
        <v>850</v>
      </c>
      <c r="J737" s="11">
        <f>Análises!F737</f>
        <v>1.0432692389554055</v>
      </c>
    </row>
    <row r="738" spans="1:10">
      <c r="A738" s="6" t="s">
        <v>175</v>
      </c>
      <c r="B738" s="7">
        <v>44568</v>
      </c>
      <c r="C738" s="6" t="s">
        <v>160</v>
      </c>
      <c r="D738" s="6" t="s">
        <v>3</v>
      </c>
      <c r="E738" s="6" t="s">
        <v>1</v>
      </c>
      <c r="F738" s="6">
        <v>304680</v>
      </c>
      <c r="G738" s="6">
        <v>2950</v>
      </c>
      <c r="H738" s="12">
        <v>98550.000190000006</v>
      </c>
      <c r="I738" s="6">
        <v>600</v>
      </c>
      <c r="J738" s="11">
        <f>Análises!F738</f>
        <v>0.82648401474346045</v>
      </c>
    </row>
    <row r="739" spans="1:10">
      <c r="A739" s="6" t="s">
        <v>175</v>
      </c>
      <c r="B739" s="7">
        <v>44569</v>
      </c>
      <c r="C739" s="6" t="s">
        <v>160</v>
      </c>
      <c r="D739" s="6" t="s">
        <v>3</v>
      </c>
      <c r="E739" s="6" t="s">
        <v>1</v>
      </c>
      <c r="F739" s="6">
        <v>140596</v>
      </c>
      <c r="G739" s="6">
        <v>1150</v>
      </c>
      <c r="H739" s="12">
        <v>40770.000220000002</v>
      </c>
      <c r="I739" s="6">
        <v>500</v>
      </c>
      <c r="J739" s="11">
        <f>Análises!F739</f>
        <v>2.6791758447530367</v>
      </c>
    </row>
    <row r="740" spans="1:10">
      <c r="A740" s="6" t="s">
        <v>175</v>
      </c>
      <c r="B740" s="7">
        <v>44570</v>
      </c>
      <c r="C740" s="6" t="s">
        <v>160</v>
      </c>
      <c r="D740" s="6" t="s">
        <v>3</v>
      </c>
      <c r="E740" s="6" t="s">
        <v>1</v>
      </c>
      <c r="F740" s="6">
        <v>439986</v>
      </c>
      <c r="G740" s="6">
        <v>4000</v>
      </c>
      <c r="H740" s="12">
        <v>134879.9999</v>
      </c>
      <c r="I740" s="6">
        <v>750</v>
      </c>
      <c r="J740" s="11">
        <f>Análises!F740</f>
        <v>0.66814946742893655</v>
      </c>
    </row>
    <row r="741" spans="1:10">
      <c r="A741" s="6" t="s">
        <v>175</v>
      </c>
      <c r="B741" s="7">
        <v>44571</v>
      </c>
      <c r="C741" s="6" t="s">
        <v>160</v>
      </c>
      <c r="D741" s="6" t="s">
        <v>3</v>
      </c>
      <c r="E741" s="6" t="s">
        <v>1</v>
      </c>
      <c r="F741" s="6">
        <v>75803</v>
      </c>
      <c r="G741" s="6">
        <v>550</v>
      </c>
      <c r="H741" s="12">
        <v>19359.999899999999</v>
      </c>
      <c r="I741" s="6">
        <v>600</v>
      </c>
      <c r="J741" s="11">
        <f>Análises!F741</f>
        <v>8.2975207091814092</v>
      </c>
    </row>
    <row r="742" spans="1:10">
      <c r="A742" s="6" t="s">
        <v>175</v>
      </c>
      <c r="B742" s="7">
        <v>44572</v>
      </c>
      <c r="C742" s="6" t="s">
        <v>160</v>
      </c>
      <c r="D742" s="6" t="s">
        <v>3</v>
      </c>
      <c r="E742" s="6" t="s">
        <v>1</v>
      </c>
      <c r="F742" s="6">
        <v>153586</v>
      </c>
      <c r="G742" s="6">
        <v>1400</v>
      </c>
      <c r="H742" s="12">
        <v>43010.000350000002</v>
      </c>
      <c r="I742" s="6">
        <v>500</v>
      </c>
      <c r="J742" s="11">
        <f>Análises!F742</f>
        <v>2.4875610039375409</v>
      </c>
    </row>
    <row r="743" spans="1:10">
      <c r="A743" s="6" t="s">
        <v>175</v>
      </c>
      <c r="B743" s="7">
        <v>44573</v>
      </c>
      <c r="C743" s="6" t="s">
        <v>160</v>
      </c>
      <c r="D743" s="6" t="s">
        <v>3</v>
      </c>
      <c r="E743" s="6" t="s">
        <v>1</v>
      </c>
      <c r="F743" s="6">
        <v>180815</v>
      </c>
      <c r="G743" s="6">
        <v>1550</v>
      </c>
      <c r="H743" s="12">
        <v>42629.999759999999</v>
      </c>
      <c r="I743" s="6">
        <v>450</v>
      </c>
      <c r="J743" s="11">
        <f>Análises!F743</f>
        <v>2.166783972789776</v>
      </c>
    </row>
    <row r="744" spans="1:10">
      <c r="A744" s="6" t="s">
        <v>175</v>
      </c>
      <c r="B744" s="7">
        <v>44574</v>
      </c>
      <c r="C744" s="6" t="s">
        <v>160</v>
      </c>
      <c r="D744" s="6" t="s">
        <v>3</v>
      </c>
      <c r="E744" s="6" t="s">
        <v>1</v>
      </c>
      <c r="F744" s="6">
        <v>253169</v>
      </c>
      <c r="G744" s="6">
        <v>2550</v>
      </c>
      <c r="H744" s="12">
        <v>75789.999839999989</v>
      </c>
      <c r="I744" s="6">
        <v>450</v>
      </c>
      <c r="J744" s="11">
        <f>Análises!F744</f>
        <v>0.78123763405459878</v>
      </c>
    </row>
    <row r="745" spans="1:10">
      <c r="A745" s="6" t="s">
        <v>175</v>
      </c>
      <c r="B745" s="7">
        <v>44575</v>
      </c>
      <c r="C745" s="6" t="s">
        <v>160</v>
      </c>
      <c r="D745" s="6" t="s">
        <v>3</v>
      </c>
      <c r="E745" s="6" t="s">
        <v>1</v>
      </c>
      <c r="F745" s="6">
        <v>34453</v>
      </c>
      <c r="G745" s="6">
        <v>250</v>
      </c>
      <c r="H745" s="12">
        <v>7710.0000380000001</v>
      </c>
      <c r="I745" s="6">
        <v>500</v>
      </c>
      <c r="J745" s="11">
        <f>Análises!F745</f>
        <v>18.455252822399533</v>
      </c>
    </row>
    <row r="746" spans="1:10">
      <c r="A746" s="6" t="s">
        <v>175</v>
      </c>
      <c r="B746" s="7">
        <v>44576</v>
      </c>
      <c r="C746" s="6" t="s">
        <v>160</v>
      </c>
      <c r="D746" s="6" t="s">
        <v>3</v>
      </c>
      <c r="E746" s="6" t="s">
        <v>1</v>
      </c>
      <c r="F746" s="6">
        <v>51550</v>
      </c>
      <c r="G746" s="6">
        <v>400</v>
      </c>
      <c r="H746" s="12">
        <v>14039.99984</v>
      </c>
      <c r="I746" s="6">
        <v>450</v>
      </c>
      <c r="J746" s="11">
        <f>Análises!F746</f>
        <v>8.6153847249616486</v>
      </c>
    </row>
    <row r="747" spans="1:10">
      <c r="A747" s="6" t="s">
        <v>175</v>
      </c>
      <c r="B747" s="7">
        <v>44577</v>
      </c>
      <c r="C747" s="6" t="s">
        <v>160</v>
      </c>
      <c r="D747" s="6" t="s">
        <v>3</v>
      </c>
      <c r="E747" s="6" t="s">
        <v>1</v>
      </c>
      <c r="F747" s="6">
        <v>110018</v>
      </c>
      <c r="G747" s="6">
        <v>1200</v>
      </c>
      <c r="H747" s="12">
        <v>39859.999660000001</v>
      </c>
      <c r="I747" s="6">
        <v>450</v>
      </c>
      <c r="J747" s="11">
        <f>Análises!F747</f>
        <v>2.3868540178507365</v>
      </c>
    </row>
    <row r="748" spans="1:10">
      <c r="A748" s="6" t="s">
        <v>175</v>
      </c>
      <c r="B748" s="7">
        <v>44578</v>
      </c>
      <c r="C748" s="6" t="s">
        <v>160</v>
      </c>
      <c r="D748" s="6" t="s">
        <v>3</v>
      </c>
      <c r="E748" s="6" t="s">
        <v>1</v>
      </c>
      <c r="F748" s="6">
        <v>137584</v>
      </c>
      <c r="G748" s="6">
        <v>1050</v>
      </c>
      <c r="H748" s="12">
        <v>36779.999609999999</v>
      </c>
      <c r="I748" s="6">
        <v>450</v>
      </c>
      <c r="J748" s="11">
        <f>Análises!F748</f>
        <v>2.6704731221175781</v>
      </c>
    </row>
    <row r="749" spans="1:10">
      <c r="A749" s="6" t="s">
        <v>175</v>
      </c>
      <c r="B749" s="7">
        <v>44579</v>
      </c>
      <c r="C749" s="6" t="s">
        <v>160</v>
      </c>
      <c r="D749" s="6" t="s">
        <v>3</v>
      </c>
      <c r="E749" s="6" t="s">
        <v>1</v>
      </c>
      <c r="F749" s="6">
        <v>209825</v>
      </c>
      <c r="G749" s="6">
        <v>1500</v>
      </c>
      <c r="H749" s="12">
        <v>54869.999530000001</v>
      </c>
      <c r="I749" s="6">
        <v>500</v>
      </c>
      <c r="J749" s="11">
        <f>Análises!F749</f>
        <v>1.7337343044442339</v>
      </c>
    </row>
    <row r="750" spans="1:10">
      <c r="A750" s="6" t="s">
        <v>175</v>
      </c>
      <c r="B750" s="7">
        <v>44580</v>
      </c>
      <c r="C750" s="6" t="s">
        <v>160</v>
      </c>
      <c r="D750" s="6" t="s">
        <v>3</v>
      </c>
      <c r="E750" s="6" t="s">
        <v>1</v>
      </c>
      <c r="F750" s="6">
        <v>264222</v>
      </c>
      <c r="G750" s="6">
        <v>3150</v>
      </c>
      <c r="H750" s="12">
        <v>87789.999599999996</v>
      </c>
      <c r="I750" s="6">
        <v>500</v>
      </c>
      <c r="J750" s="11">
        <f>Análises!F750</f>
        <v>0.7086228577679593</v>
      </c>
    </row>
    <row r="751" spans="1:10">
      <c r="A751" s="6" t="s">
        <v>175</v>
      </c>
      <c r="B751" s="7">
        <v>44581</v>
      </c>
      <c r="C751" s="6" t="s">
        <v>160</v>
      </c>
      <c r="D751" s="6" t="s">
        <v>3</v>
      </c>
      <c r="E751" s="6" t="s">
        <v>1</v>
      </c>
      <c r="F751" s="6">
        <v>31202</v>
      </c>
      <c r="G751" s="6">
        <v>250</v>
      </c>
      <c r="H751" s="12">
        <v>6730.0000190000001</v>
      </c>
      <c r="I751" s="6">
        <v>400</v>
      </c>
      <c r="J751" s="11">
        <f>Análises!F751</f>
        <v>16.830609162142412</v>
      </c>
    </row>
    <row r="752" spans="1:10">
      <c r="A752" s="6" t="s">
        <v>175</v>
      </c>
      <c r="B752" s="7">
        <v>44582</v>
      </c>
      <c r="C752" s="6" t="s">
        <v>160</v>
      </c>
      <c r="D752" s="6" t="s">
        <v>3</v>
      </c>
      <c r="E752" s="6" t="s">
        <v>1</v>
      </c>
      <c r="F752" s="6">
        <v>252991</v>
      </c>
      <c r="G752" s="6">
        <v>2450</v>
      </c>
      <c r="H752" s="12">
        <v>76839.999320000003</v>
      </c>
      <c r="I752" s="6">
        <v>600</v>
      </c>
      <c r="J752" s="11">
        <f>Análises!F752</f>
        <v>1.3425299530572665</v>
      </c>
    </row>
    <row r="753" spans="1:10">
      <c r="A753" s="6" t="s">
        <v>175</v>
      </c>
      <c r="B753" s="7">
        <v>44583</v>
      </c>
      <c r="C753" s="6" t="s">
        <v>160</v>
      </c>
      <c r="D753" s="6" t="s">
        <v>3</v>
      </c>
      <c r="E753" s="6" t="s">
        <v>1</v>
      </c>
      <c r="F753" s="6">
        <v>56265</v>
      </c>
      <c r="G753" s="6">
        <v>450</v>
      </c>
      <c r="H753" s="12">
        <v>15539.999720000002</v>
      </c>
      <c r="I753" s="6">
        <v>450</v>
      </c>
      <c r="J753" s="11">
        <f>Análises!F753</f>
        <v>7.6872588437858722</v>
      </c>
    </row>
    <row r="754" spans="1:10">
      <c r="A754" s="6" t="s">
        <v>175</v>
      </c>
      <c r="B754" s="7">
        <v>44584</v>
      </c>
      <c r="C754" s="6" t="s">
        <v>160</v>
      </c>
      <c r="D754" s="6" t="s">
        <v>3</v>
      </c>
      <c r="E754" s="6" t="s">
        <v>1</v>
      </c>
      <c r="F754" s="6">
        <v>76923</v>
      </c>
      <c r="G754" s="6">
        <v>550</v>
      </c>
      <c r="H754" s="12">
        <v>17670.000080000002</v>
      </c>
      <c r="I754" s="6">
        <v>600</v>
      </c>
      <c r="J754" s="11">
        <f>Análises!F754</f>
        <v>9.1867571694996837</v>
      </c>
    </row>
    <row r="755" spans="1:10">
      <c r="A755" s="6" t="s">
        <v>175</v>
      </c>
      <c r="B755" s="7">
        <v>44585</v>
      </c>
      <c r="C755" s="6" t="s">
        <v>160</v>
      </c>
      <c r="D755" s="6" t="s">
        <v>3</v>
      </c>
      <c r="E755" s="6" t="s">
        <v>1</v>
      </c>
      <c r="F755" s="6">
        <v>209332</v>
      </c>
      <c r="G755" s="6">
        <v>1500</v>
      </c>
      <c r="H755" s="12">
        <v>49600.000139999996</v>
      </c>
      <c r="I755" s="6">
        <v>600</v>
      </c>
      <c r="J755" s="11">
        <f>Análises!F755</f>
        <v>2.6290322478212804</v>
      </c>
    </row>
    <row r="756" spans="1:10">
      <c r="A756" s="6" t="s">
        <v>175</v>
      </c>
      <c r="B756" s="7">
        <v>44586</v>
      </c>
      <c r="C756" s="6" t="s">
        <v>160</v>
      </c>
      <c r="D756" s="6" t="s">
        <v>3</v>
      </c>
      <c r="E756" s="6" t="s">
        <v>1</v>
      </c>
      <c r="F756" s="6">
        <v>214094</v>
      </c>
      <c r="G756" s="6">
        <v>1550</v>
      </c>
      <c r="H756" s="12">
        <v>53269.999029999999</v>
      </c>
      <c r="I756" s="6">
        <v>450</v>
      </c>
      <c r="J756" s="11">
        <f>Análises!F756</f>
        <v>1.5342594792234221</v>
      </c>
    </row>
    <row r="757" spans="1:10">
      <c r="A757" s="6" t="s">
        <v>175</v>
      </c>
      <c r="B757" s="7">
        <v>44587</v>
      </c>
      <c r="C757" s="6" t="s">
        <v>160</v>
      </c>
      <c r="D757" s="6" t="s">
        <v>3</v>
      </c>
      <c r="E757" s="6" t="s">
        <v>1</v>
      </c>
      <c r="F757" s="6">
        <v>526209</v>
      </c>
      <c r="G757" s="6">
        <v>4250</v>
      </c>
      <c r="H757" s="12">
        <v>126929.9996</v>
      </c>
      <c r="I757" s="6">
        <v>650</v>
      </c>
      <c r="J757" s="11">
        <f>Análises!F757</f>
        <v>0.53627984412283891</v>
      </c>
    </row>
    <row r="758" spans="1:10">
      <c r="A758" s="6" t="s">
        <v>175</v>
      </c>
      <c r="B758" s="7">
        <v>44588</v>
      </c>
      <c r="C758" s="6" t="s">
        <v>160</v>
      </c>
      <c r="D758" s="6" t="s">
        <v>3</v>
      </c>
      <c r="E758" s="6" t="s">
        <v>1</v>
      </c>
      <c r="F758" s="6">
        <v>741143</v>
      </c>
      <c r="G758" s="6">
        <v>6000</v>
      </c>
      <c r="H758" s="12">
        <v>179620.00099999999</v>
      </c>
      <c r="I758" s="6">
        <v>650</v>
      </c>
      <c r="J758" s="11">
        <f>Análises!F758</f>
        <v>8.5625202730067976E-2</v>
      </c>
    </row>
    <row r="759" spans="1:10">
      <c r="A759" s="6" t="s">
        <v>175</v>
      </c>
      <c r="B759" s="7">
        <v>44589</v>
      </c>
      <c r="C759" s="6" t="s">
        <v>160</v>
      </c>
      <c r="D759" s="6" t="s">
        <v>3</v>
      </c>
      <c r="E759" s="6" t="s">
        <v>1</v>
      </c>
      <c r="F759" s="6">
        <v>172827</v>
      </c>
      <c r="G759" s="6">
        <v>1250</v>
      </c>
      <c r="H759" s="12">
        <v>38420.00043</v>
      </c>
      <c r="I759" s="6">
        <v>550</v>
      </c>
      <c r="J759" s="11">
        <f>Análises!F759</f>
        <v>3.2946381612000413</v>
      </c>
    </row>
    <row r="760" spans="1:10">
      <c r="A760" s="6" t="s">
        <v>175</v>
      </c>
      <c r="B760" s="7">
        <v>44590</v>
      </c>
      <c r="C760" s="6" t="s">
        <v>160</v>
      </c>
      <c r="D760" s="6" t="s">
        <v>3</v>
      </c>
      <c r="E760" s="6" t="s">
        <v>1</v>
      </c>
      <c r="F760" s="6">
        <v>188873</v>
      </c>
      <c r="G760" s="6">
        <v>1900</v>
      </c>
      <c r="H760" s="12">
        <v>58599.999900000003</v>
      </c>
      <c r="I760" s="6">
        <v>550</v>
      </c>
      <c r="J760" s="11">
        <f>Análises!F760</f>
        <v>1.8156996635080198</v>
      </c>
    </row>
    <row r="761" spans="1:10">
      <c r="A761" s="6" t="s">
        <v>175</v>
      </c>
      <c r="B761" s="7">
        <v>44591</v>
      </c>
      <c r="C761" s="6" t="s">
        <v>160</v>
      </c>
      <c r="D761" s="6" t="s">
        <v>3</v>
      </c>
      <c r="E761" s="6" t="s">
        <v>1</v>
      </c>
      <c r="F761" s="6">
        <v>123126</v>
      </c>
      <c r="G761" s="6">
        <v>1250</v>
      </c>
      <c r="H761" s="12">
        <v>39729.999779999998</v>
      </c>
      <c r="I761" s="6">
        <v>550</v>
      </c>
      <c r="J761" s="11">
        <f>Análises!F761</f>
        <v>3.1530329955617233</v>
      </c>
    </row>
    <row r="762" spans="1:10">
      <c r="A762" s="6" t="s">
        <v>175</v>
      </c>
      <c r="B762" s="7">
        <v>44592</v>
      </c>
      <c r="C762" s="6" t="s">
        <v>160</v>
      </c>
      <c r="D762" s="6" t="s">
        <v>3</v>
      </c>
      <c r="E762" s="6" t="s">
        <v>1</v>
      </c>
      <c r="F762" s="6">
        <v>77794</v>
      </c>
      <c r="G762" s="6">
        <v>700</v>
      </c>
      <c r="H762" s="12">
        <v>19110.00001</v>
      </c>
      <c r="I762" s="6">
        <v>500</v>
      </c>
      <c r="J762" s="11">
        <f>Análises!F762</f>
        <v>6.8492935594718505</v>
      </c>
    </row>
    <row r="763" spans="1:10">
      <c r="A763" s="6" t="s">
        <v>175</v>
      </c>
      <c r="B763" s="7">
        <v>44593</v>
      </c>
      <c r="C763" s="6" t="s">
        <v>160</v>
      </c>
      <c r="D763" s="6" t="s">
        <v>3</v>
      </c>
      <c r="E763" s="6" t="s">
        <v>1</v>
      </c>
      <c r="F763" s="6">
        <v>56630</v>
      </c>
      <c r="G763" s="6">
        <v>450</v>
      </c>
      <c r="H763" s="12">
        <v>15810.000179999999</v>
      </c>
      <c r="I763" s="6">
        <v>450</v>
      </c>
      <c r="J763" s="11">
        <f>Análises!F763</f>
        <v>7.5388993335229681</v>
      </c>
    </row>
    <row r="764" spans="1:10">
      <c r="A764" s="6" t="s">
        <v>175</v>
      </c>
      <c r="B764" s="7">
        <v>44594</v>
      </c>
      <c r="C764" s="6" t="s">
        <v>160</v>
      </c>
      <c r="D764" s="6" t="s">
        <v>3</v>
      </c>
      <c r="E764" s="6" t="s">
        <v>1</v>
      </c>
      <c r="F764" s="6">
        <v>400844</v>
      </c>
      <c r="G764" s="6">
        <v>4250</v>
      </c>
      <c r="H764" s="12">
        <v>140970.00220000002</v>
      </c>
      <c r="I764" s="6">
        <v>700</v>
      </c>
      <c r="J764" s="11">
        <f>Análises!F764</f>
        <v>0.48967863178482646</v>
      </c>
    </row>
    <row r="765" spans="1:10">
      <c r="A765" s="6" t="s">
        <v>175</v>
      </c>
      <c r="B765" s="7">
        <v>44595</v>
      </c>
      <c r="C765" s="6" t="s">
        <v>160</v>
      </c>
      <c r="D765" s="6" t="s">
        <v>3</v>
      </c>
      <c r="E765" s="6" t="s">
        <v>1</v>
      </c>
      <c r="F765" s="6">
        <v>208572</v>
      </c>
      <c r="G765" s="6">
        <v>1800</v>
      </c>
      <c r="H765" s="12">
        <v>60760.000230000005</v>
      </c>
      <c r="I765" s="6">
        <v>550</v>
      </c>
      <c r="J765" s="11">
        <f>Análises!F765</f>
        <v>1.7156023597006491</v>
      </c>
    </row>
    <row r="766" spans="1:10">
      <c r="A766" s="6" t="s">
        <v>175</v>
      </c>
      <c r="B766" s="7">
        <v>44596</v>
      </c>
      <c r="C766" s="6" t="s">
        <v>160</v>
      </c>
      <c r="D766" s="6" t="s">
        <v>3</v>
      </c>
      <c r="E766" s="6" t="s">
        <v>1</v>
      </c>
      <c r="F766" s="6">
        <v>59004</v>
      </c>
      <c r="G766" s="6">
        <v>400</v>
      </c>
      <c r="H766" s="12">
        <v>13510.000110000001</v>
      </c>
      <c r="I766" s="6">
        <v>400</v>
      </c>
      <c r="J766" s="11">
        <f>Análises!F766</f>
        <v>7.8823093281233145</v>
      </c>
    </row>
    <row r="767" spans="1:10">
      <c r="A767" s="6" t="s">
        <v>175</v>
      </c>
      <c r="B767" s="7">
        <v>44597</v>
      </c>
      <c r="C767" s="6" t="s">
        <v>160</v>
      </c>
      <c r="D767" s="6" t="s">
        <v>3</v>
      </c>
      <c r="E767" s="6" t="s">
        <v>1</v>
      </c>
      <c r="F767" s="6">
        <v>196253</v>
      </c>
      <c r="G767" s="6">
        <v>1600</v>
      </c>
      <c r="H767" s="12">
        <v>55100.000019999999</v>
      </c>
      <c r="I767" s="6">
        <v>400</v>
      </c>
      <c r="J767" s="11">
        <f>Análises!F767</f>
        <v>1.1778584384109407</v>
      </c>
    </row>
    <row r="768" spans="1:10">
      <c r="A768" s="6" t="s">
        <v>175</v>
      </c>
      <c r="B768" s="7">
        <v>44598</v>
      </c>
      <c r="C768" s="6" t="s">
        <v>160</v>
      </c>
      <c r="D768" s="6" t="s">
        <v>3</v>
      </c>
      <c r="E768" s="6" t="s">
        <v>1</v>
      </c>
      <c r="F768" s="6">
        <v>51858</v>
      </c>
      <c r="G768" s="6">
        <v>400</v>
      </c>
      <c r="H768" s="12">
        <v>12630.000109999999</v>
      </c>
      <c r="I768" s="6">
        <v>550</v>
      </c>
      <c r="J768" s="11">
        <f>Análises!F768</f>
        <v>12.064132902846033</v>
      </c>
    </row>
    <row r="769" spans="1:10">
      <c r="A769" s="6" t="s">
        <v>175</v>
      </c>
      <c r="B769" s="7">
        <v>44599</v>
      </c>
      <c r="C769" s="6" t="s">
        <v>160</v>
      </c>
      <c r="D769" s="6" t="s">
        <v>3</v>
      </c>
      <c r="E769" s="6" t="s">
        <v>1</v>
      </c>
      <c r="F769" s="6">
        <v>280764</v>
      </c>
      <c r="G769" s="6">
        <v>2450</v>
      </c>
      <c r="H769" s="12">
        <v>81360.000249999997</v>
      </c>
      <c r="I769" s="6">
        <v>500</v>
      </c>
      <c r="J769" s="11">
        <f>Análises!F769</f>
        <v>0.84365781144402108</v>
      </c>
    </row>
    <row r="770" spans="1:10">
      <c r="A770" s="6" t="s">
        <v>175</v>
      </c>
      <c r="B770" s="7">
        <v>44600</v>
      </c>
      <c r="C770" s="6" t="s">
        <v>160</v>
      </c>
      <c r="D770" s="6" t="s">
        <v>3</v>
      </c>
      <c r="E770" s="6" t="s">
        <v>1</v>
      </c>
      <c r="F770" s="6">
        <v>63660</v>
      </c>
      <c r="G770" s="6">
        <v>550</v>
      </c>
      <c r="H770" s="12">
        <v>16470.000030000003</v>
      </c>
      <c r="I770" s="6">
        <v>500</v>
      </c>
      <c r="J770" s="11">
        <f>Análises!F770</f>
        <v>8.1074681072723696</v>
      </c>
    </row>
    <row r="771" spans="1:10">
      <c r="A771" s="6" t="s">
        <v>175</v>
      </c>
      <c r="B771" s="7">
        <v>44601</v>
      </c>
      <c r="C771" s="6" t="s">
        <v>160</v>
      </c>
      <c r="D771" s="6" t="s">
        <v>3</v>
      </c>
      <c r="E771" s="6" t="s">
        <v>1</v>
      </c>
      <c r="F771" s="6">
        <v>109289</v>
      </c>
      <c r="G771" s="6">
        <v>950</v>
      </c>
      <c r="H771" s="12">
        <v>31029.999969999997</v>
      </c>
      <c r="I771" s="6">
        <v>450</v>
      </c>
      <c r="J771" s="11">
        <f>Análises!F771</f>
        <v>3.3506284283119192</v>
      </c>
    </row>
    <row r="772" spans="1:10">
      <c r="A772" s="6" t="s">
        <v>175</v>
      </c>
      <c r="B772" s="7">
        <v>44602</v>
      </c>
      <c r="C772" s="6" t="s">
        <v>160</v>
      </c>
      <c r="D772" s="6" t="s">
        <v>3</v>
      </c>
      <c r="E772" s="6" t="s">
        <v>1</v>
      </c>
      <c r="F772" s="6">
        <v>188440</v>
      </c>
      <c r="G772" s="6">
        <v>2000</v>
      </c>
      <c r="H772" s="12">
        <v>60729.999659999994</v>
      </c>
      <c r="I772" s="6">
        <v>550</v>
      </c>
      <c r="J772" s="11">
        <f>Análises!F772</f>
        <v>1.7169438650380524</v>
      </c>
    </row>
    <row r="773" spans="1:10">
      <c r="A773" s="6" t="s">
        <v>175</v>
      </c>
      <c r="B773" s="7">
        <v>44603</v>
      </c>
      <c r="C773" s="6" t="s">
        <v>160</v>
      </c>
      <c r="D773" s="6" t="s">
        <v>3</v>
      </c>
      <c r="E773" s="6" t="s">
        <v>1</v>
      </c>
      <c r="F773" s="6">
        <v>212496</v>
      </c>
      <c r="G773" s="6">
        <v>2200</v>
      </c>
      <c r="H773" s="12">
        <v>74830.001350000006</v>
      </c>
      <c r="I773" s="6">
        <v>550</v>
      </c>
      <c r="J773" s="11">
        <f>Análises!F773</f>
        <v>1.204997955676236</v>
      </c>
    </row>
    <row r="774" spans="1:10">
      <c r="A774" s="6" t="s">
        <v>175</v>
      </c>
      <c r="B774" s="7">
        <v>44604</v>
      </c>
      <c r="C774" s="6" t="s">
        <v>160</v>
      </c>
      <c r="D774" s="6" t="s">
        <v>3</v>
      </c>
      <c r="E774" s="6" t="s">
        <v>1</v>
      </c>
      <c r="F774" s="6">
        <v>32574</v>
      </c>
      <c r="G774" s="6">
        <v>250</v>
      </c>
      <c r="H774" s="12">
        <v>7480.0000190000001</v>
      </c>
      <c r="I774" s="6">
        <v>450</v>
      </c>
      <c r="J774" s="11">
        <f>Análises!F774</f>
        <v>17.048128296401813</v>
      </c>
    </row>
    <row r="775" spans="1:10">
      <c r="A775" s="6" t="s">
        <v>175</v>
      </c>
      <c r="B775" s="7">
        <v>44605</v>
      </c>
      <c r="C775" s="6" t="s">
        <v>160</v>
      </c>
      <c r="D775" s="6" t="s">
        <v>3</v>
      </c>
      <c r="E775" s="6" t="s">
        <v>1</v>
      </c>
      <c r="F775" s="6">
        <v>128595</v>
      </c>
      <c r="G775" s="6">
        <v>1150</v>
      </c>
      <c r="H775" s="12">
        <v>36480.000500000002</v>
      </c>
      <c r="I775" s="6">
        <v>500</v>
      </c>
      <c r="J775" s="11">
        <f>Análises!F775</f>
        <v>3.1118420489056735</v>
      </c>
    </row>
    <row r="776" spans="1:10">
      <c r="A776" s="6" t="s">
        <v>175</v>
      </c>
      <c r="B776" s="7">
        <v>44606</v>
      </c>
      <c r="C776" s="6" t="s">
        <v>160</v>
      </c>
      <c r="D776" s="6" t="s">
        <v>3</v>
      </c>
      <c r="E776" s="6" t="s">
        <v>1</v>
      </c>
      <c r="F776" s="6">
        <v>242234</v>
      </c>
      <c r="G776" s="6">
        <v>2400</v>
      </c>
      <c r="H776" s="12">
        <v>68060.000540000008</v>
      </c>
      <c r="I776" s="6">
        <v>500</v>
      </c>
      <c r="J776" s="11">
        <f>Análises!F776</f>
        <v>1.2039376845411935</v>
      </c>
    </row>
    <row r="777" spans="1:10">
      <c r="A777" s="6" t="s">
        <v>175</v>
      </c>
      <c r="B777" s="7">
        <v>44607</v>
      </c>
      <c r="C777" s="6" t="s">
        <v>160</v>
      </c>
      <c r="D777" s="6" t="s">
        <v>3</v>
      </c>
      <c r="E777" s="6" t="s">
        <v>1</v>
      </c>
      <c r="F777" s="6">
        <v>33154</v>
      </c>
      <c r="G777" s="6">
        <v>250</v>
      </c>
      <c r="H777" s="12">
        <v>7879.9999950000001</v>
      </c>
      <c r="I777" s="6">
        <v>500</v>
      </c>
      <c r="J777" s="11">
        <f>Análises!F777</f>
        <v>18.035533007002243</v>
      </c>
    </row>
    <row r="778" spans="1:10">
      <c r="A778" s="6" t="s">
        <v>175</v>
      </c>
      <c r="B778" s="7">
        <v>44608</v>
      </c>
      <c r="C778" s="6" t="s">
        <v>160</v>
      </c>
      <c r="D778" s="6" t="s">
        <v>3</v>
      </c>
      <c r="E778" s="6" t="s">
        <v>1</v>
      </c>
      <c r="F778" s="6">
        <v>9773</v>
      </c>
      <c r="G778" s="6">
        <v>50</v>
      </c>
      <c r="H778" s="12">
        <v>1460.0000379999999</v>
      </c>
      <c r="I778" s="6">
        <v>450</v>
      </c>
      <c r="J778" s="11">
        <f>Análises!F778</f>
        <v>91.4657510180147</v>
      </c>
    </row>
    <row r="779" spans="1:10">
      <c r="A779" s="6" t="s">
        <v>175</v>
      </c>
      <c r="B779" s="7">
        <v>44609</v>
      </c>
      <c r="C779" s="6" t="s">
        <v>160</v>
      </c>
      <c r="D779" s="6" t="s">
        <v>3</v>
      </c>
      <c r="E779" s="6" t="s">
        <v>1</v>
      </c>
      <c r="F779" s="6">
        <v>76703</v>
      </c>
      <c r="G779" s="6">
        <v>450</v>
      </c>
      <c r="H779" s="12">
        <v>12149.999619999999</v>
      </c>
      <c r="I779" s="6">
        <v>650</v>
      </c>
      <c r="J779" s="11">
        <f>Análises!F779</f>
        <v>15.049383218005405</v>
      </c>
    </row>
    <row r="780" spans="1:10">
      <c r="A780" s="6" t="s">
        <v>175</v>
      </c>
      <c r="B780" s="7">
        <v>44610</v>
      </c>
      <c r="C780" s="6" t="s">
        <v>160</v>
      </c>
      <c r="D780" s="6" t="s">
        <v>3</v>
      </c>
      <c r="E780" s="6" t="s">
        <v>1</v>
      </c>
      <c r="F780" s="6">
        <v>68619</v>
      </c>
      <c r="G780" s="6">
        <v>500</v>
      </c>
      <c r="H780" s="12">
        <v>14960.000340000001</v>
      </c>
      <c r="I780" s="6">
        <v>450</v>
      </c>
      <c r="J780" s="11">
        <f>Análises!F780</f>
        <v>8.0240639660306314</v>
      </c>
    </row>
    <row r="781" spans="1:10">
      <c r="A781" s="6" t="s">
        <v>175</v>
      </c>
      <c r="B781" s="7">
        <v>44611</v>
      </c>
      <c r="C781" s="6" t="s">
        <v>160</v>
      </c>
      <c r="D781" s="6" t="s">
        <v>3</v>
      </c>
      <c r="E781" s="6" t="s">
        <v>1</v>
      </c>
      <c r="F781" s="6">
        <v>17559</v>
      </c>
      <c r="G781" s="6">
        <v>50</v>
      </c>
      <c r="H781" s="12">
        <v>1490.00001</v>
      </c>
      <c r="I781" s="6">
        <v>550</v>
      </c>
      <c r="J781" s="11">
        <f>Análises!F781</f>
        <v>109.7382542903473</v>
      </c>
    </row>
    <row r="782" spans="1:10">
      <c r="A782" s="6" t="s">
        <v>175</v>
      </c>
      <c r="B782" s="7">
        <v>44612</v>
      </c>
      <c r="C782" s="6" t="s">
        <v>160</v>
      </c>
      <c r="D782" s="6" t="s">
        <v>3</v>
      </c>
      <c r="E782" s="6" t="s">
        <v>1</v>
      </c>
      <c r="F782" s="6">
        <v>137879</v>
      </c>
      <c r="G782" s="6">
        <v>950</v>
      </c>
      <c r="H782" s="12">
        <v>28470.000030000003</v>
      </c>
      <c r="I782" s="6">
        <v>500</v>
      </c>
      <c r="J782" s="11">
        <f>Análises!F782</f>
        <v>4.2687038932890369</v>
      </c>
    </row>
    <row r="783" spans="1:10">
      <c r="A783" s="6" t="s">
        <v>175</v>
      </c>
      <c r="B783" s="7">
        <v>44613</v>
      </c>
      <c r="C783" s="6" t="s">
        <v>160</v>
      </c>
      <c r="D783" s="6" t="s">
        <v>3</v>
      </c>
      <c r="E783" s="6" t="s">
        <v>1</v>
      </c>
      <c r="F783" s="6">
        <v>67710</v>
      </c>
      <c r="G783" s="6">
        <v>500</v>
      </c>
      <c r="H783" s="12">
        <v>15149.999980000001</v>
      </c>
      <c r="I783" s="6">
        <v>500</v>
      </c>
      <c r="J783" s="11">
        <f>Análises!F783</f>
        <v>8.9009901120805157</v>
      </c>
    </row>
    <row r="784" spans="1:10">
      <c r="A784" s="6" t="s">
        <v>175</v>
      </c>
      <c r="B784" s="7">
        <v>44614</v>
      </c>
      <c r="C784" s="6" t="s">
        <v>160</v>
      </c>
      <c r="D784" s="6" t="s">
        <v>3</v>
      </c>
      <c r="E784" s="6" t="s">
        <v>1</v>
      </c>
      <c r="F784" s="6">
        <v>348180</v>
      </c>
      <c r="G784" s="6">
        <v>2050</v>
      </c>
      <c r="H784" s="12">
        <v>60229.999069999998</v>
      </c>
      <c r="I784" s="6">
        <v>600</v>
      </c>
      <c r="J784" s="11">
        <f>Análises!F784</f>
        <v>1.9885439611380691</v>
      </c>
    </row>
    <row r="785" spans="1:10">
      <c r="A785" s="6" t="s">
        <v>175</v>
      </c>
      <c r="B785" s="7">
        <v>44615</v>
      </c>
      <c r="C785" s="6" t="s">
        <v>160</v>
      </c>
      <c r="D785" s="6" t="s">
        <v>3</v>
      </c>
      <c r="E785" s="6" t="s">
        <v>1</v>
      </c>
      <c r="F785" s="6">
        <v>146246</v>
      </c>
      <c r="G785" s="6">
        <v>900</v>
      </c>
      <c r="H785" s="12">
        <v>28719.99955</v>
      </c>
      <c r="I785" s="6">
        <v>600</v>
      </c>
      <c r="J785" s="11">
        <f>Análises!F785</f>
        <v>5.2674095689531439</v>
      </c>
    </row>
    <row r="786" spans="1:10">
      <c r="A786" s="6" t="s">
        <v>175</v>
      </c>
      <c r="B786" s="7">
        <v>44616</v>
      </c>
      <c r="C786" s="6" t="s">
        <v>160</v>
      </c>
      <c r="D786" s="6" t="s">
        <v>3</v>
      </c>
      <c r="E786" s="6" t="s">
        <v>1</v>
      </c>
      <c r="F786" s="6">
        <v>187236</v>
      </c>
      <c r="G786" s="6">
        <v>1200</v>
      </c>
      <c r="H786" s="12">
        <v>34869.999649999998</v>
      </c>
      <c r="I786" s="6">
        <v>600</v>
      </c>
      <c r="J786" s="11">
        <f>Análises!F786</f>
        <v>4.1620304504362107</v>
      </c>
    </row>
    <row r="787" spans="1:10">
      <c r="A787" s="6" t="s">
        <v>175</v>
      </c>
      <c r="B787" s="7">
        <v>44617</v>
      </c>
      <c r="C787" s="6" t="s">
        <v>160</v>
      </c>
      <c r="D787" s="6" t="s">
        <v>3</v>
      </c>
      <c r="E787" s="6" t="s">
        <v>1</v>
      </c>
      <c r="F787" s="6">
        <v>72157</v>
      </c>
      <c r="G787" s="6">
        <v>450</v>
      </c>
      <c r="H787" s="12">
        <v>13500.00036</v>
      </c>
      <c r="I787" s="6">
        <v>500</v>
      </c>
      <c r="J787" s="11">
        <f>Análises!F787</f>
        <v>10.111110814814822</v>
      </c>
    </row>
    <row r="788" spans="1:10">
      <c r="A788" s="6" t="s">
        <v>175</v>
      </c>
      <c r="B788" s="7">
        <v>44618</v>
      </c>
      <c r="C788" s="6" t="s">
        <v>160</v>
      </c>
      <c r="D788" s="6" t="s">
        <v>3</v>
      </c>
      <c r="E788" s="6" t="s">
        <v>1</v>
      </c>
      <c r="F788" s="6">
        <v>91180</v>
      </c>
      <c r="G788" s="6">
        <v>500</v>
      </c>
      <c r="H788" s="12">
        <v>13559.999940000002</v>
      </c>
      <c r="I788" s="6">
        <v>450</v>
      </c>
      <c r="J788" s="11">
        <f>Análises!F788</f>
        <v>8.9557522564413805</v>
      </c>
    </row>
    <row r="789" spans="1:10">
      <c r="A789" s="6" t="s">
        <v>175</v>
      </c>
      <c r="B789" s="7">
        <v>44619</v>
      </c>
      <c r="C789" s="6" t="s">
        <v>160</v>
      </c>
      <c r="D789" s="6" t="s">
        <v>3</v>
      </c>
      <c r="E789" s="6" t="s">
        <v>1</v>
      </c>
      <c r="F789" s="6">
        <v>86293</v>
      </c>
      <c r="G789" s="6">
        <v>300</v>
      </c>
      <c r="H789" s="12">
        <v>9259.999871</v>
      </c>
      <c r="I789" s="6">
        <v>500</v>
      </c>
      <c r="J789" s="11">
        <f>Análises!F789</f>
        <v>15.198704329334001</v>
      </c>
    </row>
    <row r="790" spans="1:10">
      <c r="A790" s="6" t="s">
        <v>176</v>
      </c>
      <c r="B790" s="7">
        <v>44620</v>
      </c>
      <c r="C790" s="6" t="s">
        <v>160</v>
      </c>
      <c r="D790" s="6" t="s">
        <v>4</v>
      </c>
      <c r="E790" s="6" t="s">
        <v>5</v>
      </c>
      <c r="F790" s="6">
        <v>725043</v>
      </c>
      <c r="G790" s="6">
        <v>8950</v>
      </c>
      <c r="H790" s="12">
        <v>238400.0007</v>
      </c>
      <c r="I790" s="6">
        <v>300</v>
      </c>
      <c r="J790" s="11">
        <f>Análises!F790</f>
        <v>-0.62248322258499056</v>
      </c>
    </row>
    <row r="791" spans="1:10">
      <c r="A791" s="6" t="s">
        <v>176</v>
      </c>
      <c r="B791" s="7">
        <v>44621</v>
      </c>
      <c r="C791" s="6" t="s">
        <v>160</v>
      </c>
      <c r="D791" s="6" t="s">
        <v>4</v>
      </c>
      <c r="E791" s="6" t="s">
        <v>5</v>
      </c>
      <c r="F791" s="6">
        <v>382776</v>
      </c>
      <c r="G791" s="6">
        <v>4850</v>
      </c>
      <c r="H791" s="12">
        <v>132730.0007</v>
      </c>
      <c r="I791" s="6">
        <v>450</v>
      </c>
      <c r="J791" s="11">
        <f>Análises!F791</f>
        <v>1.7102382943029668E-2</v>
      </c>
    </row>
    <row r="792" spans="1:10">
      <c r="A792" s="6" t="s">
        <v>176</v>
      </c>
      <c r="B792" s="7">
        <v>44621</v>
      </c>
      <c r="C792" s="6" t="s">
        <v>160</v>
      </c>
      <c r="D792" s="6" t="s">
        <v>4</v>
      </c>
      <c r="E792" s="6" t="s">
        <v>5</v>
      </c>
      <c r="F792" s="6">
        <v>548250</v>
      </c>
      <c r="G792" s="6">
        <v>6850</v>
      </c>
      <c r="H792" s="12">
        <v>201600.0042</v>
      </c>
      <c r="I792" s="6">
        <v>350</v>
      </c>
      <c r="J792" s="11">
        <f>Análises!F792</f>
        <v>-0.47916667751736086</v>
      </c>
    </row>
    <row r="793" spans="1:10">
      <c r="A793" s="6" t="s">
        <v>176</v>
      </c>
      <c r="B793" s="7">
        <v>44622</v>
      </c>
      <c r="C793" s="6" t="s">
        <v>160</v>
      </c>
      <c r="D793" s="6" t="s">
        <v>4</v>
      </c>
      <c r="E793" s="6" t="s">
        <v>5</v>
      </c>
      <c r="F793" s="6">
        <v>1358324</v>
      </c>
      <c r="G793" s="6">
        <v>17300</v>
      </c>
      <c r="H793" s="12">
        <v>465079.99810000003</v>
      </c>
      <c r="I793" s="6">
        <v>400</v>
      </c>
      <c r="J793" s="11">
        <f>Análises!F793</f>
        <v>-0.74197987337611115</v>
      </c>
    </row>
    <row r="794" spans="1:10">
      <c r="A794" s="6" t="s">
        <v>176</v>
      </c>
      <c r="B794" s="7">
        <v>44623</v>
      </c>
      <c r="C794" s="6" t="s">
        <v>160</v>
      </c>
      <c r="D794" s="6" t="s">
        <v>4</v>
      </c>
      <c r="E794" s="6" t="s">
        <v>5</v>
      </c>
      <c r="F794" s="6">
        <v>662249</v>
      </c>
      <c r="G794" s="6">
        <v>8150</v>
      </c>
      <c r="H794" s="12">
        <v>234939.99919999999</v>
      </c>
      <c r="I794" s="6">
        <v>150</v>
      </c>
      <c r="J794" s="11">
        <f>Análises!F794</f>
        <v>-0.80846173425882939</v>
      </c>
    </row>
    <row r="795" spans="1:10">
      <c r="A795" s="6" t="s">
        <v>176</v>
      </c>
      <c r="B795" s="7">
        <v>44624</v>
      </c>
      <c r="C795" s="6" t="s">
        <v>160</v>
      </c>
      <c r="D795" s="6" t="s">
        <v>4</v>
      </c>
      <c r="E795" s="6" t="s">
        <v>5</v>
      </c>
      <c r="F795" s="6">
        <v>559554</v>
      </c>
      <c r="G795" s="6">
        <v>6950</v>
      </c>
      <c r="H795" s="12">
        <v>195079.9994</v>
      </c>
      <c r="I795" s="6">
        <v>100</v>
      </c>
      <c r="J795" s="11">
        <f>Análises!F795</f>
        <v>-0.84621693616839333</v>
      </c>
    </row>
    <row r="796" spans="1:10">
      <c r="A796" s="6" t="s">
        <v>176</v>
      </c>
      <c r="B796" s="7">
        <v>44625</v>
      </c>
      <c r="C796" s="6" t="s">
        <v>160</v>
      </c>
      <c r="D796" s="6" t="s">
        <v>4</v>
      </c>
      <c r="E796" s="6" t="s">
        <v>5</v>
      </c>
      <c r="F796" s="6">
        <v>320757</v>
      </c>
      <c r="G796" s="6">
        <v>3400</v>
      </c>
      <c r="H796" s="12">
        <v>104689.99890000001</v>
      </c>
      <c r="I796" s="6">
        <v>100</v>
      </c>
      <c r="J796" s="11">
        <f>Análises!F796</f>
        <v>-0.7134396760414905</v>
      </c>
    </row>
    <row r="797" spans="1:10">
      <c r="A797" s="6" t="s">
        <v>176</v>
      </c>
      <c r="B797" s="7">
        <v>44626</v>
      </c>
      <c r="C797" s="6" t="s">
        <v>160</v>
      </c>
      <c r="D797" s="6" t="s">
        <v>4</v>
      </c>
      <c r="E797" s="6" t="s">
        <v>5</v>
      </c>
      <c r="F797" s="6">
        <v>906151</v>
      </c>
      <c r="G797" s="6">
        <v>10100</v>
      </c>
      <c r="H797" s="12">
        <v>295549.99570000003</v>
      </c>
      <c r="I797" s="6">
        <v>50</v>
      </c>
      <c r="J797" s="11">
        <f>Análises!F797</f>
        <v>-0.94924716556170807</v>
      </c>
    </row>
    <row r="798" spans="1:10">
      <c r="A798" s="6" t="s">
        <v>176</v>
      </c>
      <c r="B798" s="7">
        <v>44627</v>
      </c>
      <c r="C798" s="6" t="s">
        <v>160</v>
      </c>
      <c r="D798" s="6" t="s">
        <v>4</v>
      </c>
      <c r="E798" s="6" t="s">
        <v>5</v>
      </c>
      <c r="F798" s="6">
        <v>699314</v>
      </c>
      <c r="G798" s="6">
        <v>8200</v>
      </c>
      <c r="H798" s="12">
        <v>226030.00140000001</v>
      </c>
      <c r="I798" s="6">
        <v>150</v>
      </c>
      <c r="J798" s="11">
        <f>Análises!F798</f>
        <v>-0.80091138467780409</v>
      </c>
    </row>
    <row r="799" spans="1:10">
      <c r="A799" s="6" t="s">
        <v>176</v>
      </c>
      <c r="B799" s="7">
        <v>44628</v>
      </c>
      <c r="C799" s="6" t="s">
        <v>160</v>
      </c>
      <c r="D799" s="6" t="s">
        <v>4</v>
      </c>
      <c r="E799" s="6" t="s">
        <v>5</v>
      </c>
      <c r="F799" s="6">
        <v>850337</v>
      </c>
      <c r="G799" s="6">
        <v>9900</v>
      </c>
      <c r="H799" s="12">
        <v>287690.00299999997</v>
      </c>
      <c r="I799" s="6">
        <v>200</v>
      </c>
      <c r="J799" s="11">
        <f>Análises!F799</f>
        <v>-0.79144217951848672</v>
      </c>
    </row>
    <row r="800" spans="1:10">
      <c r="A800" s="6" t="s">
        <v>176</v>
      </c>
      <c r="B800" s="7">
        <v>44629</v>
      </c>
      <c r="C800" s="6" t="s">
        <v>160</v>
      </c>
      <c r="D800" s="6" t="s">
        <v>4</v>
      </c>
      <c r="E800" s="6" t="s">
        <v>5</v>
      </c>
      <c r="F800" s="6">
        <v>1015460</v>
      </c>
      <c r="G800" s="6">
        <v>12350</v>
      </c>
      <c r="H800" s="12">
        <v>315900.00510000001</v>
      </c>
      <c r="I800" s="6">
        <v>700</v>
      </c>
      <c r="J800" s="11">
        <f>Análises!F800</f>
        <v>-0.33523267929823786</v>
      </c>
    </row>
    <row r="801" spans="1:10">
      <c r="A801" s="6" t="s">
        <v>176</v>
      </c>
      <c r="B801" s="7">
        <v>44630</v>
      </c>
      <c r="C801" s="6" t="s">
        <v>160</v>
      </c>
      <c r="D801" s="6" t="s">
        <v>4</v>
      </c>
      <c r="E801" s="6" t="s">
        <v>5</v>
      </c>
      <c r="F801" s="6">
        <v>890295</v>
      </c>
      <c r="G801" s="6">
        <v>11350</v>
      </c>
      <c r="H801" s="12">
        <v>332989.99890000001</v>
      </c>
      <c r="I801" s="6">
        <v>0</v>
      </c>
      <c r="J801" s="11">
        <f>Análises!F801</f>
        <v>-1</v>
      </c>
    </row>
    <row r="802" spans="1:10">
      <c r="A802" s="6" t="s">
        <v>176</v>
      </c>
      <c r="B802" s="7">
        <v>44631</v>
      </c>
      <c r="C802" s="6" t="s">
        <v>160</v>
      </c>
      <c r="D802" s="6" t="s">
        <v>4</v>
      </c>
      <c r="E802" s="6" t="s">
        <v>5</v>
      </c>
      <c r="F802" s="6">
        <v>791817</v>
      </c>
      <c r="G802" s="6">
        <v>9700</v>
      </c>
      <c r="H802" s="12">
        <v>282490.00099999999</v>
      </c>
      <c r="I802" s="6">
        <v>550</v>
      </c>
      <c r="J802" s="11">
        <f>Análises!F802</f>
        <v>-0.41590852980314863</v>
      </c>
    </row>
    <row r="803" spans="1:10">
      <c r="A803" s="6" t="s">
        <v>176</v>
      </c>
      <c r="B803" s="7">
        <v>44632</v>
      </c>
      <c r="C803" s="6" t="s">
        <v>160</v>
      </c>
      <c r="D803" s="6" t="s">
        <v>4</v>
      </c>
      <c r="E803" s="6" t="s">
        <v>5</v>
      </c>
      <c r="F803" s="6">
        <v>317601</v>
      </c>
      <c r="G803" s="6">
        <v>3800</v>
      </c>
      <c r="H803" s="12">
        <v>115660.00080000001</v>
      </c>
      <c r="I803" s="6">
        <v>0</v>
      </c>
      <c r="J803" s="11">
        <f>Análises!F803</f>
        <v>-1</v>
      </c>
    </row>
    <row r="804" spans="1:10">
      <c r="A804" s="6" t="s">
        <v>176</v>
      </c>
      <c r="B804" s="7">
        <v>44633</v>
      </c>
      <c r="C804" s="6" t="s">
        <v>160</v>
      </c>
      <c r="D804" s="6" t="s">
        <v>4</v>
      </c>
      <c r="E804" s="6" t="s">
        <v>5</v>
      </c>
      <c r="F804" s="6">
        <v>685211</v>
      </c>
      <c r="G804" s="6">
        <v>8200</v>
      </c>
      <c r="H804" s="12">
        <v>247320.00260000001</v>
      </c>
      <c r="I804" s="6">
        <v>400</v>
      </c>
      <c r="J804" s="11">
        <f>Análises!F804</f>
        <v>-0.51479864653697038</v>
      </c>
    </row>
    <row r="805" spans="1:10">
      <c r="A805" s="6" t="s">
        <v>176</v>
      </c>
      <c r="B805" s="7">
        <v>44634</v>
      </c>
      <c r="C805" s="6" t="s">
        <v>160</v>
      </c>
      <c r="D805" s="6" t="s">
        <v>4</v>
      </c>
      <c r="E805" s="6" t="s">
        <v>5</v>
      </c>
      <c r="F805" s="6">
        <v>32781</v>
      </c>
      <c r="G805" s="6">
        <v>350</v>
      </c>
      <c r="H805" s="12">
        <v>11200.000169999999</v>
      </c>
      <c r="I805" s="6">
        <v>350</v>
      </c>
      <c r="J805" s="11">
        <f>Análises!F805</f>
        <v>8.3749998577008959</v>
      </c>
    </row>
    <row r="806" spans="1:10">
      <c r="A806" s="6" t="s">
        <v>176</v>
      </c>
      <c r="B806" s="7">
        <v>44635</v>
      </c>
      <c r="C806" s="6" t="s">
        <v>160</v>
      </c>
      <c r="D806" s="6" t="s">
        <v>4</v>
      </c>
      <c r="E806" s="6" t="s">
        <v>5</v>
      </c>
      <c r="F806" s="6">
        <v>76785</v>
      </c>
      <c r="G806" s="6">
        <v>950</v>
      </c>
      <c r="H806" s="12">
        <v>25459.999980000001</v>
      </c>
      <c r="I806" s="6">
        <v>200</v>
      </c>
      <c r="J806" s="11">
        <f>Análises!F806</f>
        <v>1.3566378651662512</v>
      </c>
    </row>
    <row r="807" spans="1:10">
      <c r="A807" s="6" t="s">
        <v>176</v>
      </c>
      <c r="B807" s="7">
        <v>44636</v>
      </c>
      <c r="C807" s="6" t="s">
        <v>160</v>
      </c>
      <c r="D807" s="6" t="s">
        <v>4</v>
      </c>
      <c r="E807" s="6" t="s">
        <v>5</v>
      </c>
      <c r="F807" s="6">
        <v>719083</v>
      </c>
      <c r="G807" s="6">
        <v>10300</v>
      </c>
      <c r="H807" s="12">
        <v>299529.99829999998</v>
      </c>
      <c r="I807" s="6">
        <v>700</v>
      </c>
      <c r="J807" s="11">
        <f>Análises!F807</f>
        <v>-0.2989016085471663</v>
      </c>
    </row>
    <row r="808" spans="1:10">
      <c r="A808" s="6" t="s">
        <v>176</v>
      </c>
      <c r="B808" s="7">
        <v>44637</v>
      </c>
      <c r="C808" s="6" t="s">
        <v>160</v>
      </c>
      <c r="D808" s="6" t="s">
        <v>4</v>
      </c>
      <c r="E808" s="6" t="s">
        <v>5</v>
      </c>
      <c r="F808" s="6">
        <v>368480</v>
      </c>
      <c r="G808" s="6">
        <v>5350</v>
      </c>
      <c r="H808" s="12">
        <v>140420.00109999999</v>
      </c>
      <c r="I808" s="6">
        <v>250</v>
      </c>
      <c r="J808" s="11">
        <f>Análises!F808</f>
        <v>-0.4658880543193501</v>
      </c>
    </row>
    <row r="809" spans="1:10">
      <c r="A809" s="6" t="s">
        <v>176</v>
      </c>
      <c r="B809" s="7">
        <v>44638</v>
      </c>
      <c r="C809" s="6" t="s">
        <v>160</v>
      </c>
      <c r="D809" s="6" t="s">
        <v>4</v>
      </c>
      <c r="E809" s="6" t="s">
        <v>5</v>
      </c>
      <c r="F809" s="6">
        <v>260945</v>
      </c>
      <c r="G809" s="6">
        <v>3650</v>
      </c>
      <c r="H809" s="12">
        <v>100880.00109999999</v>
      </c>
      <c r="I809" s="6">
        <v>250</v>
      </c>
      <c r="J809" s="11">
        <f>Análises!F809</f>
        <v>-0.25654243475221367</v>
      </c>
    </row>
    <row r="810" spans="1:10">
      <c r="A810" s="6" t="s">
        <v>176</v>
      </c>
      <c r="B810" s="7">
        <v>44639</v>
      </c>
      <c r="C810" s="6" t="s">
        <v>160</v>
      </c>
      <c r="D810" s="6" t="s">
        <v>4</v>
      </c>
      <c r="E810" s="6" t="s">
        <v>5</v>
      </c>
      <c r="F810" s="6">
        <v>40998</v>
      </c>
      <c r="G810" s="6">
        <v>500</v>
      </c>
      <c r="H810" s="12">
        <v>13350.000380000001</v>
      </c>
      <c r="I810" s="6">
        <v>50</v>
      </c>
      <c r="J810" s="11">
        <f>Análises!F810</f>
        <v>0.12359547363548454</v>
      </c>
    </row>
    <row r="811" spans="1:10">
      <c r="A811" s="6" t="s">
        <v>176</v>
      </c>
      <c r="B811" s="7">
        <v>44640</v>
      </c>
      <c r="C811" s="6" t="s">
        <v>160</v>
      </c>
      <c r="D811" s="6" t="s">
        <v>4</v>
      </c>
      <c r="E811" s="6" t="s">
        <v>5</v>
      </c>
      <c r="F811" s="6">
        <v>183293</v>
      </c>
      <c r="G811" s="6">
        <v>2650</v>
      </c>
      <c r="H811" s="12">
        <v>73749.999639999995</v>
      </c>
      <c r="I811" s="6">
        <v>100</v>
      </c>
      <c r="J811" s="11">
        <f>Análises!F811</f>
        <v>-0.5932203369974145</v>
      </c>
    </row>
    <row r="812" spans="1:10">
      <c r="A812" s="6" t="s">
        <v>176</v>
      </c>
      <c r="B812" s="7">
        <v>44641</v>
      </c>
      <c r="C812" s="6" t="s">
        <v>160</v>
      </c>
      <c r="D812" s="6" t="s">
        <v>4</v>
      </c>
      <c r="E812" s="6" t="s">
        <v>5</v>
      </c>
      <c r="F812" s="6">
        <v>221561</v>
      </c>
      <c r="G812" s="6">
        <v>2750</v>
      </c>
      <c r="H812" s="12">
        <v>76759.999160000007</v>
      </c>
      <c r="I812" s="6">
        <v>200</v>
      </c>
      <c r="J812" s="11">
        <f>Análises!F812</f>
        <v>-0.21834287836644115</v>
      </c>
    </row>
    <row r="813" spans="1:10">
      <c r="A813" s="6" t="s">
        <v>176</v>
      </c>
      <c r="B813" s="7">
        <v>44642</v>
      </c>
      <c r="C813" s="6" t="s">
        <v>160</v>
      </c>
      <c r="D813" s="6" t="s">
        <v>4</v>
      </c>
      <c r="E813" s="6" t="s">
        <v>5</v>
      </c>
      <c r="F813" s="6">
        <v>436943</v>
      </c>
      <c r="G813" s="6">
        <v>5450</v>
      </c>
      <c r="H813" s="12">
        <v>145819.99739999999</v>
      </c>
      <c r="I813" s="6">
        <v>0</v>
      </c>
      <c r="J813" s="11">
        <f>Análises!F813</f>
        <v>-1</v>
      </c>
    </row>
    <row r="814" spans="1:10">
      <c r="A814" s="6" t="s">
        <v>176</v>
      </c>
      <c r="B814" s="7">
        <v>44643</v>
      </c>
      <c r="C814" s="6" t="s">
        <v>160</v>
      </c>
      <c r="D814" s="6" t="s">
        <v>4</v>
      </c>
      <c r="E814" s="6" t="s">
        <v>5</v>
      </c>
      <c r="F814" s="6">
        <v>284488</v>
      </c>
      <c r="G814" s="6">
        <v>4500</v>
      </c>
      <c r="H814" s="12">
        <v>125270.00110000001</v>
      </c>
      <c r="I814" s="6">
        <v>200</v>
      </c>
      <c r="J814" s="11">
        <f>Análises!F814</f>
        <v>-0.5210345695446793</v>
      </c>
    </row>
    <row r="815" spans="1:10">
      <c r="A815" s="6" t="s">
        <v>176</v>
      </c>
      <c r="B815" s="7">
        <v>44644</v>
      </c>
      <c r="C815" s="6" t="s">
        <v>160</v>
      </c>
      <c r="D815" s="6" t="s">
        <v>4</v>
      </c>
      <c r="E815" s="6" t="s">
        <v>5</v>
      </c>
      <c r="F815" s="6">
        <v>85083</v>
      </c>
      <c r="G815" s="6">
        <v>1600</v>
      </c>
      <c r="H815" s="12">
        <v>38629.999759999999</v>
      </c>
      <c r="I815" s="6">
        <v>150</v>
      </c>
      <c r="J815" s="11">
        <f>Análises!F815</f>
        <v>0.16489775510161694</v>
      </c>
    </row>
    <row r="816" spans="1:10">
      <c r="A816" s="6" t="s">
        <v>176</v>
      </c>
      <c r="B816" s="7">
        <v>44645</v>
      </c>
      <c r="C816" s="6" t="s">
        <v>160</v>
      </c>
      <c r="D816" s="6" t="s">
        <v>4</v>
      </c>
      <c r="E816" s="6" t="s">
        <v>5</v>
      </c>
      <c r="F816" s="6">
        <v>14167</v>
      </c>
      <c r="G816" s="6">
        <v>250</v>
      </c>
      <c r="H816" s="12">
        <v>7139.9999860000007</v>
      </c>
      <c r="I816" s="6">
        <v>50</v>
      </c>
      <c r="J816" s="11">
        <f>Análises!F816</f>
        <v>1.1008403402537483</v>
      </c>
    </row>
    <row r="817" spans="1:10">
      <c r="A817" s="6" t="s">
        <v>176</v>
      </c>
      <c r="B817" s="7">
        <v>44646</v>
      </c>
      <c r="C817" s="6" t="s">
        <v>160</v>
      </c>
      <c r="D817" s="6" t="s">
        <v>4</v>
      </c>
      <c r="E817" s="6" t="s">
        <v>5</v>
      </c>
      <c r="F817" s="6">
        <v>300637</v>
      </c>
      <c r="G817" s="6">
        <v>4200</v>
      </c>
      <c r="H817" s="12">
        <v>116989.9981</v>
      </c>
      <c r="I817" s="6">
        <v>250</v>
      </c>
      <c r="J817" s="11">
        <f>Análises!F817</f>
        <v>-0.35891955536325459</v>
      </c>
    </row>
    <row r="818" spans="1:10">
      <c r="A818" s="6" t="s">
        <v>176</v>
      </c>
      <c r="B818" s="7">
        <v>44647</v>
      </c>
      <c r="C818" s="6" t="s">
        <v>160</v>
      </c>
      <c r="D818" s="6" t="s">
        <v>4</v>
      </c>
      <c r="E818" s="6" t="s">
        <v>5</v>
      </c>
      <c r="F818" s="6">
        <v>449921</v>
      </c>
      <c r="G818" s="6">
        <v>6450</v>
      </c>
      <c r="H818" s="12">
        <v>175970.00049999999</v>
      </c>
      <c r="I818" s="6">
        <v>500</v>
      </c>
      <c r="J818" s="11">
        <f>Análises!F818</f>
        <v>-0.14758197662220268</v>
      </c>
    </row>
    <row r="819" spans="1:10">
      <c r="A819" s="6" t="s">
        <v>176</v>
      </c>
      <c r="B819" s="7">
        <v>44648</v>
      </c>
      <c r="C819" s="6" t="s">
        <v>160</v>
      </c>
      <c r="D819" s="6" t="s">
        <v>4</v>
      </c>
      <c r="E819" s="6" t="s">
        <v>5</v>
      </c>
      <c r="F819" s="6">
        <v>282899</v>
      </c>
      <c r="G819" s="6">
        <v>3550</v>
      </c>
      <c r="H819" s="12">
        <v>105660.0007</v>
      </c>
      <c r="I819" s="6">
        <v>0</v>
      </c>
      <c r="J819" s="11">
        <f>Análises!F819</f>
        <v>-1</v>
      </c>
    </row>
    <row r="820" spans="1:10">
      <c r="A820" s="6" t="s">
        <v>176</v>
      </c>
      <c r="B820" s="7">
        <v>44649</v>
      </c>
      <c r="C820" s="6" t="s">
        <v>160</v>
      </c>
      <c r="D820" s="6" t="s">
        <v>4</v>
      </c>
      <c r="E820" s="6" t="s">
        <v>5</v>
      </c>
      <c r="F820" s="6">
        <v>669671</v>
      </c>
      <c r="G820" s="6">
        <v>9300</v>
      </c>
      <c r="H820" s="12">
        <v>259179.99880000003</v>
      </c>
      <c r="I820" s="6">
        <v>400</v>
      </c>
      <c r="J820" s="11">
        <f>Análises!F820</f>
        <v>-0.53700130968593862</v>
      </c>
    </row>
    <row r="821" spans="1:10">
      <c r="A821" s="6" t="s">
        <v>176</v>
      </c>
      <c r="B821" s="7">
        <v>44650</v>
      </c>
      <c r="C821" s="6" t="s">
        <v>160</v>
      </c>
      <c r="D821" s="6" t="s">
        <v>4</v>
      </c>
      <c r="E821" s="6" t="s">
        <v>5</v>
      </c>
      <c r="F821" s="6">
        <v>108655</v>
      </c>
      <c r="G821" s="6">
        <v>1400</v>
      </c>
      <c r="H821" s="12">
        <v>46920.001859999997</v>
      </c>
      <c r="I821" s="6">
        <v>0</v>
      </c>
      <c r="J821" s="11">
        <f>Análises!F821</f>
        <v>-1</v>
      </c>
    </row>
    <row r="822" spans="1:10">
      <c r="A822" s="6" t="s">
        <v>176</v>
      </c>
      <c r="B822" s="7">
        <v>44651</v>
      </c>
      <c r="C822" s="6" t="s">
        <v>160</v>
      </c>
      <c r="D822" s="6" t="s">
        <v>4</v>
      </c>
      <c r="E822" s="6" t="s">
        <v>5</v>
      </c>
      <c r="F822" s="6">
        <v>536248</v>
      </c>
      <c r="G822" s="6">
        <v>7300</v>
      </c>
      <c r="H822" s="12">
        <v>187739.99780000001</v>
      </c>
      <c r="I822" s="6">
        <v>100</v>
      </c>
      <c r="J822" s="11">
        <f>Análises!F822</f>
        <v>-0.84020453631857883</v>
      </c>
    </row>
    <row r="823" spans="1:10">
      <c r="A823" s="6" t="s">
        <v>176</v>
      </c>
      <c r="B823" s="7">
        <v>44652</v>
      </c>
      <c r="C823" s="6" t="s">
        <v>160</v>
      </c>
      <c r="D823" s="6" t="s">
        <v>4</v>
      </c>
      <c r="E823" s="6" t="s">
        <v>5</v>
      </c>
      <c r="F823" s="6">
        <v>1055017</v>
      </c>
      <c r="G823" s="6">
        <v>13250</v>
      </c>
      <c r="H823" s="12">
        <v>380659.9952</v>
      </c>
      <c r="I823" s="6">
        <v>950</v>
      </c>
      <c r="J823" s="11">
        <f>Análises!F823</f>
        <v>-0.25130036359544411</v>
      </c>
    </row>
    <row r="824" spans="1:10">
      <c r="A824" s="6" t="s">
        <v>176</v>
      </c>
      <c r="B824" s="7">
        <v>44653</v>
      </c>
      <c r="C824" s="6" t="s">
        <v>160</v>
      </c>
      <c r="D824" s="6" t="s">
        <v>4</v>
      </c>
      <c r="E824" s="6" t="s">
        <v>5</v>
      </c>
      <c r="F824" s="6">
        <v>1428421</v>
      </c>
      <c r="G824" s="6">
        <v>18350</v>
      </c>
      <c r="H824" s="12">
        <v>541700.00230000005</v>
      </c>
      <c r="I824" s="6">
        <v>400</v>
      </c>
      <c r="J824" s="11">
        <f>Análises!F824</f>
        <v>-0.77847517169929314</v>
      </c>
    </row>
    <row r="825" spans="1:10">
      <c r="A825" s="6" t="s">
        <v>176</v>
      </c>
      <c r="B825" s="7">
        <v>44654</v>
      </c>
      <c r="C825" s="6" t="s">
        <v>160</v>
      </c>
      <c r="D825" s="6" t="s">
        <v>4</v>
      </c>
      <c r="E825" s="6" t="s">
        <v>5</v>
      </c>
      <c r="F825" s="6">
        <v>1088027</v>
      </c>
      <c r="G825" s="6">
        <v>13600</v>
      </c>
      <c r="H825" s="12">
        <v>409560.00260000001</v>
      </c>
      <c r="I825" s="6">
        <v>700</v>
      </c>
      <c r="J825" s="11">
        <f>Análises!F825</f>
        <v>-0.48725461796351693</v>
      </c>
    </row>
    <row r="826" spans="1:10">
      <c r="A826" s="6" t="s">
        <v>176</v>
      </c>
      <c r="B826" s="7">
        <v>44655</v>
      </c>
      <c r="C826" s="6" t="s">
        <v>160</v>
      </c>
      <c r="D826" s="6" t="s">
        <v>4</v>
      </c>
      <c r="E826" s="6" t="s">
        <v>5</v>
      </c>
      <c r="F826" s="6">
        <v>288517</v>
      </c>
      <c r="G826" s="6">
        <v>3900</v>
      </c>
      <c r="H826" s="12">
        <v>102390.00020000001</v>
      </c>
      <c r="I826" s="6">
        <v>350</v>
      </c>
      <c r="J826" s="11">
        <f>Análises!F826</f>
        <v>2.5490768579957385E-2</v>
      </c>
    </row>
    <row r="827" spans="1:10">
      <c r="A827" s="6" t="s">
        <v>176</v>
      </c>
      <c r="B827" s="7">
        <v>44656</v>
      </c>
      <c r="C827" s="6" t="s">
        <v>160</v>
      </c>
      <c r="D827" s="6" t="s">
        <v>4</v>
      </c>
      <c r="E827" s="6" t="s">
        <v>5</v>
      </c>
      <c r="F827" s="6">
        <v>202231</v>
      </c>
      <c r="G827" s="6">
        <v>2650</v>
      </c>
      <c r="H827" s="12">
        <v>67130.001070000013</v>
      </c>
      <c r="I827" s="6">
        <v>0</v>
      </c>
      <c r="J827" s="11">
        <f>Análises!F827</f>
        <v>-1</v>
      </c>
    </row>
    <row r="828" spans="1:10">
      <c r="A828" s="6" t="s">
        <v>176</v>
      </c>
      <c r="B828" s="7">
        <v>44657</v>
      </c>
      <c r="C828" s="6" t="s">
        <v>160</v>
      </c>
      <c r="D828" s="6" t="s">
        <v>4</v>
      </c>
      <c r="E828" s="6" t="s">
        <v>5</v>
      </c>
      <c r="F828" s="6">
        <v>73222</v>
      </c>
      <c r="G828" s="6">
        <v>800</v>
      </c>
      <c r="H828" s="12">
        <v>22860.000249999997</v>
      </c>
      <c r="I828" s="6">
        <v>100</v>
      </c>
      <c r="J828" s="11">
        <f>Análises!F828</f>
        <v>0.31233594365336909</v>
      </c>
    </row>
    <row r="829" spans="1:10">
      <c r="A829" s="6" t="s">
        <v>176</v>
      </c>
      <c r="B829" s="7">
        <v>44658</v>
      </c>
      <c r="C829" s="6" t="s">
        <v>160</v>
      </c>
      <c r="D829" s="6" t="s">
        <v>4</v>
      </c>
      <c r="E829" s="6" t="s">
        <v>5</v>
      </c>
      <c r="F829" s="6">
        <v>348542</v>
      </c>
      <c r="G829" s="6">
        <v>4800</v>
      </c>
      <c r="H829" s="12">
        <v>134889.99899999998</v>
      </c>
      <c r="I829" s="6">
        <v>200</v>
      </c>
      <c r="J829" s="11">
        <f>Análises!F829</f>
        <v>-0.55519311702270824</v>
      </c>
    </row>
    <row r="830" spans="1:10">
      <c r="A830" s="6" t="s">
        <v>176</v>
      </c>
      <c r="B830" s="7">
        <v>44659</v>
      </c>
      <c r="C830" s="6" t="s">
        <v>160</v>
      </c>
      <c r="D830" s="6" t="s">
        <v>4</v>
      </c>
      <c r="E830" s="6" t="s">
        <v>5</v>
      </c>
      <c r="F830" s="6">
        <v>1097966</v>
      </c>
      <c r="G830" s="6">
        <v>13300</v>
      </c>
      <c r="H830" s="12">
        <v>369069.99699999997</v>
      </c>
      <c r="I830" s="6">
        <v>1050</v>
      </c>
      <c r="J830" s="11">
        <f>Análises!F830</f>
        <v>-0.14650336640612913</v>
      </c>
    </row>
    <row r="831" spans="1:10">
      <c r="A831" s="6" t="s">
        <v>176</v>
      </c>
      <c r="B831" s="7">
        <v>44660</v>
      </c>
      <c r="C831" s="6" t="s">
        <v>160</v>
      </c>
      <c r="D831" s="6" t="s">
        <v>4</v>
      </c>
      <c r="E831" s="6" t="s">
        <v>5</v>
      </c>
      <c r="F831" s="6">
        <v>526923</v>
      </c>
      <c r="G831" s="6">
        <v>6900</v>
      </c>
      <c r="H831" s="12">
        <v>198089.99720000001</v>
      </c>
      <c r="I831" s="6">
        <v>0</v>
      </c>
      <c r="J831" s="11">
        <f>Análises!F831</f>
        <v>-1</v>
      </c>
    </row>
    <row r="832" spans="1:10">
      <c r="A832" s="6" t="s">
        <v>176</v>
      </c>
      <c r="B832" s="7">
        <v>44661</v>
      </c>
      <c r="C832" s="6" t="s">
        <v>160</v>
      </c>
      <c r="D832" s="6" t="s">
        <v>4</v>
      </c>
      <c r="E832" s="6" t="s">
        <v>5</v>
      </c>
      <c r="F832" s="6">
        <v>264386</v>
      </c>
      <c r="G832" s="6">
        <v>3300</v>
      </c>
      <c r="H832" s="12">
        <v>91000.000540000008</v>
      </c>
      <c r="I832" s="6">
        <v>400</v>
      </c>
      <c r="J832" s="11">
        <f>Análises!F832</f>
        <v>0.31868131085617674</v>
      </c>
    </row>
    <row r="833" spans="1:10">
      <c r="A833" s="6" t="s">
        <v>176</v>
      </c>
      <c r="B833" s="7">
        <v>44662</v>
      </c>
      <c r="C833" s="6" t="s">
        <v>160</v>
      </c>
      <c r="D833" s="6" t="s">
        <v>4</v>
      </c>
      <c r="E833" s="6" t="s">
        <v>5</v>
      </c>
      <c r="F833" s="6">
        <v>854940</v>
      </c>
      <c r="G833" s="6">
        <v>11350</v>
      </c>
      <c r="H833" s="12">
        <v>297910.00070000003</v>
      </c>
      <c r="I833" s="6">
        <v>450</v>
      </c>
      <c r="J833" s="11">
        <f>Análises!F833</f>
        <v>-0.54684300734184788</v>
      </c>
    </row>
    <row r="834" spans="1:10">
      <c r="A834" s="6" t="s">
        <v>176</v>
      </c>
      <c r="B834" s="7">
        <v>44663</v>
      </c>
      <c r="C834" s="6" t="s">
        <v>160</v>
      </c>
      <c r="D834" s="6" t="s">
        <v>4</v>
      </c>
      <c r="E834" s="6" t="s">
        <v>5</v>
      </c>
      <c r="F834" s="6">
        <v>113567</v>
      </c>
      <c r="G834" s="6">
        <v>1700</v>
      </c>
      <c r="H834" s="12">
        <v>50290.000440000003</v>
      </c>
      <c r="I834" s="6">
        <v>50</v>
      </c>
      <c r="J834" s="11">
        <f>Análises!F834</f>
        <v>-0.70172996880570326</v>
      </c>
    </row>
    <row r="835" spans="1:10">
      <c r="A835" s="6" t="s">
        <v>176</v>
      </c>
      <c r="B835" s="7">
        <v>44664</v>
      </c>
      <c r="C835" s="6" t="s">
        <v>160</v>
      </c>
      <c r="D835" s="6" t="s">
        <v>4</v>
      </c>
      <c r="E835" s="6" t="s">
        <v>5</v>
      </c>
      <c r="F835" s="6">
        <v>22859</v>
      </c>
      <c r="G835" s="6">
        <v>300</v>
      </c>
      <c r="H835" s="12">
        <v>9419.9998380000015</v>
      </c>
      <c r="I835" s="6">
        <v>100</v>
      </c>
      <c r="J835" s="11">
        <f>Análises!F835</f>
        <v>2.1847134305651346</v>
      </c>
    </row>
    <row r="836" spans="1:10">
      <c r="A836" s="6" t="s">
        <v>176</v>
      </c>
      <c r="B836" s="7">
        <v>44665</v>
      </c>
      <c r="C836" s="6" t="s">
        <v>160</v>
      </c>
      <c r="D836" s="6" t="s">
        <v>4</v>
      </c>
      <c r="E836" s="6" t="s">
        <v>5</v>
      </c>
      <c r="F836" s="6">
        <v>51754</v>
      </c>
      <c r="G836" s="6">
        <v>650</v>
      </c>
      <c r="H836" s="12">
        <v>20519.999980000001</v>
      </c>
      <c r="I836" s="6">
        <v>150</v>
      </c>
      <c r="J836" s="11">
        <f>Análises!F836</f>
        <v>1.1929824582777606</v>
      </c>
    </row>
    <row r="837" spans="1:10">
      <c r="A837" s="6" t="s">
        <v>176</v>
      </c>
      <c r="B837" s="7">
        <v>44666</v>
      </c>
      <c r="C837" s="6" t="s">
        <v>160</v>
      </c>
      <c r="D837" s="6" t="s">
        <v>4</v>
      </c>
      <c r="E837" s="6" t="s">
        <v>5</v>
      </c>
      <c r="F837" s="6">
        <v>104347</v>
      </c>
      <c r="G837" s="6">
        <v>1400</v>
      </c>
      <c r="H837" s="12">
        <v>38139.999930000005</v>
      </c>
      <c r="I837" s="6">
        <v>300</v>
      </c>
      <c r="J837" s="11">
        <f>Análises!F837</f>
        <v>1.3597273247294415</v>
      </c>
    </row>
    <row r="838" spans="1:10">
      <c r="A838" s="6" t="s">
        <v>176</v>
      </c>
      <c r="B838" s="7">
        <v>44667</v>
      </c>
      <c r="C838" s="6" t="s">
        <v>160</v>
      </c>
      <c r="D838" s="6" t="s">
        <v>4</v>
      </c>
      <c r="E838" s="6" t="s">
        <v>5</v>
      </c>
      <c r="F838" s="6">
        <v>391998</v>
      </c>
      <c r="G838" s="6">
        <v>4850</v>
      </c>
      <c r="H838" s="12">
        <v>142050.0025</v>
      </c>
      <c r="I838" s="6">
        <v>250</v>
      </c>
      <c r="J838" s="11">
        <f>Análises!F838</f>
        <v>-0.47201690475155045</v>
      </c>
    </row>
    <row r="839" spans="1:10">
      <c r="A839" s="6" t="s">
        <v>176</v>
      </c>
      <c r="B839" s="7">
        <v>44668</v>
      </c>
      <c r="C839" s="6" t="s">
        <v>160</v>
      </c>
      <c r="D839" s="6" t="s">
        <v>4</v>
      </c>
      <c r="E839" s="6" t="s">
        <v>5</v>
      </c>
      <c r="F839" s="6">
        <v>1111156</v>
      </c>
      <c r="G839" s="6">
        <v>14100</v>
      </c>
      <c r="H839" s="12">
        <v>402300.00260000001</v>
      </c>
      <c r="I839" s="6">
        <v>350</v>
      </c>
      <c r="J839" s="11">
        <f>Análises!F839</f>
        <v>-0.73900074739895116</v>
      </c>
    </row>
    <row r="840" spans="1:10">
      <c r="A840" s="6" t="s">
        <v>176</v>
      </c>
      <c r="B840" s="7">
        <v>44669</v>
      </c>
      <c r="C840" s="6" t="s">
        <v>160</v>
      </c>
      <c r="D840" s="6" t="s">
        <v>4</v>
      </c>
      <c r="E840" s="6" t="s">
        <v>5</v>
      </c>
      <c r="F840" s="6">
        <v>427772</v>
      </c>
      <c r="G840" s="6">
        <v>5850</v>
      </c>
      <c r="H840" s="12">
        <v>159299.99900000001</v>
      </c>
      <c r="I840" s="6">
        <v>150</v>
      </c>
      <c r="J840" s="11">
        <f>Análises!F840</f>
        <v>-0.7175141225204904</v>
      </c>
    </row>
    <row r="841" spans="1:10">
      <c r="A841" s="6" t="s">
        <v>176</v>
      </c>
      <c r="B841" s="7">
        <v>44670</v>
      </c>
      <c r="C841" s="6" t="s">
        <v>160</v>
      </c>
      <c r="D841" s="6" t="s">
        <v>4</v>
      </c>
      <c r="E841" s="6" t="s">
        <v>5</v>
      </c>
      <c r="F841" s="6">
        <v>536457</v>
      </c>
      <c r="G841" s="6">
        <v>6800</v>
      </c>
      <c r="H841" s="12">
        <v>193659.99909999999</v>
      </c>
      <c r="I841" s="6">
        <v>200</v>
      </c>
      <c r="J841" s="11">
        <f>Análises!F841</f>
        <v>-0.6901786621974636</v>
      </c>
    </row>
    <row r="842" spans="1:10">
      <c r="A842" s="6" t="s">
        <v>176</v>
      </c>
      <c r="B842" s="7">
        <v>44671</v>
      </c>
      <c r="C842" s="6" t="s">
        <v>160</v>
      </c>
      <c r="D842" s="6" t="s">
        <v>4</v>
      </c>
      <c r="E842" s="6" t="s">
        <v>5</v>
      </c>
      <c r="F842" s="6">
        <v>179894</v>
      </c>
      <c r="G842" s="6">
        <v>2150</v>
      </c>
      <c r="H842" s="12">
        <v>66839.998720000003</v>
      </c>
      <c r="I842" s="6">
        <v>100</v>
      </c>
      <c r="J842" s="11">
        <f>Análises!F842</f>
        <v>-0.55116695729344267</v>
      </c>
    </row>
    <row r="843" spans="1:10">
      <c r="A843" s="6" t="s">
        <v>176</v>
      </c>
      <c r="B843" s="7">
        <v>44672</v>
      </c>
      <c r="C843" s="6" t="s">
        <v>160</v>
      </c>
      <c r="D843" s="6" t="s">
        <v>4</v>
      </c>
      <c r="E843" s="6" t="s">
        <v>5</v>
      </c>
      <c r="F843" s="6">
        <v>479882</v>
      </c>
      <c r="G843" s="6">
        <v>6550</v>
      </c>
      <c r="H843" s="12">
        <v>178670.0007</v>
      </c>
      <c r="I843" s="6">
        <v>200</v>
      </c>
      <c r="J843" s="11">
        <f>Análises!F843</f>
        <v>-0.66418537099160602</v>
      </c>
    </row>
    <row r="844" spans="1:10">
      <c r="A844" s="6" t="s">
        <v>176</v>
      </c>
      <c r="B844" s="7">
        <v>44673</v>
      </c>
      <c r="C844" s="6" t="s">
        <v>160</v>
      </c>
      <c r="D844" s="6" t="s">
        <v>4</v>
      </c>
      <c r="E844" s="6" t="s">
        <v>5</v>
      </c>
      <c r="F844" s="6">
        <v>358261</v>
      </c>
      <c r="G844" s="6">
        <v>4550</v>
      </c>
      <c r="H844" s="12">
        <v>130360.00110000001</v>
      </c>
      <c r="I844" s="6">
        <v>150</v>
      </c>
      <c r="J844" s="11">
        <f>Análises!F844</f>
        <v>-0.65480208944244944</v>
      </c>
    </row>
    <row r="845" spans="1:10">
      <c r="A845" s="6" t="s">
        <v>176</v>
      </c>
      <c r="B845" s="7">
        <v>44674</v>
      </c>
      <c r="C845" s="6" t="s">
        <v>160</v>
      </c>
      <c r="D845" s="6" t="s">
        <v>4</v>
      </c>
      <c r="E845" s="6" t="s">
        <v>5</v>
      </c>
      <c r="F845" s="6">
        <v>346688</v>
      </c>
      <c r="G845" s="6">
        <v>4400</v>
      </c>
      <c r="H845" s="12">
        <v>114859.99979999999</v>
      </c>
      <c r="I845" s="6">
        <v>50</v>
      </c>
      <c r="J845" s="11">
        <f>Análises!F845</f>
        <v>-0.86940623344838275</v>
      </c>
    </row>
    <row r="846" spans="1:10">
      <c r="A846" s="6" t="s">
        <v>176</v>
      </c>
      <c r="B846" s="7">
        <v>44675</v>
      </c>
      <c r="C846" s="6" t="s">
        <v>160</v>
      </c>
      <c r="D846" s="6" t="s">
        <v>4</v>
      </c>
      <c r="E846" s="6" t="s">
        <v>5</v>
      </c>
      <c r="F846" s="6">
        <v>904907</v>
      </c>
      <c r="G846" s="6">
        <v>9750</v>
      </c>
      <c r="H846" s="12">
        <v>279219.995</v>
      </c>
      <c r="I846" s="6">
        <v>750</v>
      </c>
      <c r="J846" s="11">
        <f>Análises!F846</f>
        <v>-0.19418378329245367</v>
      </c>
    </row>
    <row r="847" spans="1:10">
      <c r="A847" s="6" t="s">
        <v>176</v>
      </c>
      <c r="B847" s="7">
        <v>44676</v>
      </c>
      <c r="C847" s="6" t="s">
        <v>160</v>
      </c>
      <c r="D847" s="6" t="s">
        <v>4</v>
      </c>
      <c r="E847" s="6" t="s">
        <v>5</v>
      </c>
      <c r="F847" s="6">
        <v>589270</v>
      </c>
      <c r="G847" s="6">
        <v>5350</v>
      </c>
      <c r="H847" s="12">
        <v>158050.00229999999</v>
      </c>
      <c r="I847" s="6">
        <v>550</v>
      </c>
      <c r="J847" s="11">
        <f>Análises!F847</f>
        <v>4.3973410938697645E-2</v>
      </c>
    </row>
    <row r="848" spans="1:10">
      <c r="A848" s="6" t="s">
        <v>176</v>
      </c>
      <c r="B848" s="7">
        <v>44677</v>
      </c>
      <c r="C848" s="6" t="s">
        <v>160</v>
      </c>
      <c r="D848" s="6" t="s">
        <v>4</v>
      </c>
      <c r="E848" s="6" t="s">
        <v>5</v>
      </c>
      <c r="F848" s="6">
        <v>168714</v>
      </c>
      <c r="G848" s="6">
        <v>1200</v>
      </c>
      <c r="H848" s="12">
        <v>36010.00071</v>
      </c>
      <c r="I848" s="6">
        <v>50</v>
      </c>
      <c r="J848" s="11">
        <f>Análises!F848</f>
        <v>-0.58344905014582549</v>
      </c>
    </row>
    <row r="849" spans="1:10">
      <c r="A849" s="6" t="s">
        <v>176</v>
      </c>
      <c r="B849" s="7">
        <v>44678</v>
      </c>
      <c r="C849" s="6" t="s">
        <v>160</v>
      </c>
      <c r="D849" s="6" t="s">
        <v>4</v>
      </c>
      <c r="E849" s="6" t="s">
        <v>5</v>
      </c>
      <c r="F849" s="6">
        <v>71982</v>
      </c>
      <c r="G849" s="6">
        <v>550</v>
      </c>
      <c r="H849" s="12">
        <v>16340.00051</v>
      </c>
      <c r="I849" s="6">
        <v>0</v>
      </c>
      <c r="J849" s="11">
        <f>Análises!F849</f>
        <v>-1</v>
      </c>
    </row>
    <row r="850" spans="1:10">
      <c r="A850" s="6" t="s">
        <v>176</v>
      </c>
      <c r="B850" s="7">
        <v>44679</v>
      </c>
      <c r="C850" s="6" t="s">
        <v>160</v>
      </c>
      <c r="D850" s="6" t="s">
        <v>4</v>
      </c>
      <c r="E850" s="6" t="s">
        <v>5</v>
      </c>
      <c r="F850" s="6">
        <v>558666</v>
      </c>
      <c r="G850" s="6">
        <v>5500</v>
      </c>
      <c r="H850" s="12">
        <v>162639.9975</v>
      </c>
      <c r="I850" s="6">
        <v>1000</v>
      </c>
      <c r="J850" s="11">
        <f>Análises!F850</f>
        <v>0.84456471108836562</v>
      </c>
    </row>
    <row r="851" spans="1:10">
      <c r="A851" s="6" t="s">
        <v>176</v>
      </c>
      <c r="B851" s="7">
        <v>44680</v>
      </c>
      <c r="C851" s="6" t="s">
        <v>160</v>
      </c>
      <c r="D851" s="6" t="s">
        <v>4</v>
      </c>
      <c r="E851" s="6" t="s">
        <v>5</v>
      </c>
      <c r="F851" s="6">
        <v>1118200</v>
      </c>
      <c r="G851" s="6">
        <v>11750</v>
      </c>
      <c r="H851" s="12">
        <v>333749.99430000002</v>
      </c>
      <c r="I851" s="6">
        <v>650</v>
      </c>
      <c r="J851" s="11">
        <f>Análises!F851</f>
        <v>-0.41573032710011348</v>
      </c>
    </row>
    <row r="852" spans="1:10">
      <c r="A852" s="6" t="s">
        <v>176</v>
      </c>
      <c r="B852" s="7">
        <v>44681</v>
      </c>
      <c r="C852" s="6" t="s">
        <v>160</v>
      </c>
      <c r="D852" s="6" t="s">
        <v>4</v>
      </c>
      <c r="E852" s="6" t="s">
        <v>5</v>
      </c>
      <c r="F852" s="6">
        <v>107100</v>
      </c>
      <c r="G852" s="6">
        <v>1150</v>
      </c>
      <c r="H852" s="12">
        <v>33710.000509999998</v>
      </c>
      <c r="I852" s="6">
        <v>0</v>
      </c>
      <c r="J852" s="11">
        <f>Análises!F852</f>
        <v>-1</v>
      </c>
    </row>
    <row r="853" spans="1:10">
      <c r="A853" s="6" t="s">
        <v>176</v>
      </c>
      <c r="B853" s="7">
        <v>44682</v>
      </c>
      <c r="C853" s="6" t="s">
        <v>160</v>
      </c>
      <c r="D853" s="6" t="s">
        <v>4</v>
      </c>
      <c r="E853" s="6" t="s">
        <v>5</v>
      </c>
      <c r="F853" s="6">
        <v>877769</v>
      </c>
      <c r="G853" s="6">
        <v>8000</v>
      </c>
      <c r="H853" s="12">
        <v>232590.00049999999</v>
      </c>
      <c r="I853" s="6">
        <v>700</v>
      </c>
      <c r="J853" s="11">
        <f>Análises!F853</f>
        <v>-9.712369599483274E-2</v>
      </c>
    </row>
    <row r="854" spans="1:10">
      <c r="A854" s="6" t="s">
        <v>176</v>
      </c>
      <c r="B854" s="7">
        <v>44683</v>
      </c>
      <c r="C854" s="6" t="s">
        <v>160</v>
      </c>
      <c r="D854" s="6" t="s">
        <v>4</v>
      </c>
      <c r="E854" s="6" t="s">
        <v>5</v>
      </c>
      <c r="F854" s="6">
        <v>212508</v>
      </c>
      <c r="G854" s="6">
        <v>1650</v>
      </c>
      <c r="H854" s="12">
        <v>47690.000060000006</v>
      </c>
      <c r="I854" s="6">
        <v>350</v>
      </c>
      <c r="J854" s="11">
        <f>Análises!F854</f>
        <v>1.2017194352672851</v>
      </c>
    </row>
    <row r="855" spans="1:10">
      <c r="A855" s="6" t="s">
        <v>176</v>
      </c>
      <c r="B855" s="7">
        <v>44684</v>
      </c>
      <c r="C855" s="6" t="s">
        <v>160</v>
      </c>
      <c r="D855" s="6" t="s">
        <v>4</v>
      </c>
      <c r="E855" s="6" t="s">
        <v>5</v>
      </c>
      <c r="F855" s="6">
        <v>1129773</v>
      </c>
      <c r="G855" s="6">
        <v>12600</v>
      </c>
      <c r="H855" s="12">
        <v>358189.99700000003</v>
      </c>
      <c r="I855" s="6">
        <v>650</v>
      </c>
      <c r="J855" s="11">
        <f>Análises!F855</f>
        <v>-0.45559618740553498</v>
      </c>
    </row>
    <row r="856" spans="1:10">
      <c r="A856" s="6" t="s">
        <v>176</v>
      </c>
      <c r="B856" s="7">
        <v>44685</v>
      </c>
      <c r="C856" s="6" t="s">
        <v>160</v>
      </c>
      <c r="D856" s="6" t="s">
        <v>4</v>
      </c>
      <c r="E856" s="6" t="s">
        <v>5</v>
      </c>
      <c r="F856" s="6">
        <v>637549</v>
      </c>
      <c r="G856" s="6">
        <v>6000</v>
      </c>
      <c r="H856" s="12">
        <v>173880.00349999999</v>
      </c>
      <c r="I856" s="6">
        <v>100</v>
      </c>
      <c r="J856" s="11">
        <f>Análises!F856</f>
        <v>-0.82746722224444857</v>
      </c>
    </row>
    <row r="857" spans="1:10">
      <c r="A857" s="6" t="s">
        <v>176</v>
      </c>
      <c r="B857" s="7">
        <v>44686</v>
      </c>
      <c r="C857" s="6" t="s">
        <v>160</v>
      </c>
      <c r="D857" s="6" t="s">
        <v>4</v>
      </c>
      <c r="E857" s="6" t="s">
        <v>5</v>
      </c>
      <c r="F857" s="6">
        <v>151531</v>
      </c>
      <c r="G857" s="6">
        <v>1400</v>
      </c>
      <c r="H857" s="12">
        <v>40289.999490000002</v>
      </c>
      <c r="I857" s="6">
        <v>50</v>
      </c>
      <c r="J857" s="11">
        <f>Análises!F857</f>
        <v>-0.6276991762255294</v>
      </c>
    </row>
    <row r="858" spans="1:10">
      <c r="A858" s="6" t="s">
        <v>176</v>
      </c>
      <c r="B858" s="7">
        <v>44687</v>
      </c>
      <c r="C858" s="6" t="s">
        <v>160</v>
      </c>
      <c r="D858" s="6" t="s">
        <v>4</v>
      </c>
      <c r="E858" s="6" t="s">
        <v>5</v>
      </c>
      <c r="F858" s="6">
        <v>790253</v>
      </c>
      <c r="G858" s="6">
        <v>6750</v>
      </c>
      <c r="H858" s="12">
        <v>198710.00049999999</v>
      </c>
      <c r="I858" s="6">
        <v>450</v>
      </c>
      <c r="J858" s="11">
        <f>Análises!F858</f>
        <v>-0.32061798771924416</v>
      </c>
    </row>
    <row r="859" spans="1:10">
      <c r="A859" s="6" t="s">
        <v>176</v>
      </c>
      <c r="B859" s="7">
        <v>44688</v>
      </c>
      <c r="C859" s="6" t="s">
        <v>160</v>
      </c>
      <c r="D859" s="6" t="s">
        <v>4</v>
      </c>
      <c r="E859" s="6" t="s">
        <v>5</v>
      </c>
      <c r="F859" s="6">
        <v>513161</v>
      </c>
      <c r="G859" s="6">
        <v>5700</v>
      </c>
      <c r="H859" s="12">
        <v>165609.9987</v>
      </c>
      <c r="I859" s="6">
        <v>400</v>
      </c>
      <c r="J859" s="11">
        <f>Análises!F859</f>
        <v>-0.27540606882451474</v>
      </c>
    </row>
    <row r="860" spans="1:10">
      <c r="A860" s="6" t="s">
        <v>177</v>
      </c>
      <c r="B860" s="7">
        <v>44689</v>
      </c>
      <c r="C860" s="6" t="s">
        <v>160</v>
      </c>
      <c r="D860" s="6" t="s">
        <v>4</v>
      </c>
      <c r="E860" s="6" t="s">
        <v>1</v>
      </c>
      <c r="F860" s="6">
        <v>464036</v>
      </c>
      <c r="G860" s="6">
        <v>3850</v>
      </c>
      <c r="H860" s="12">
        <v>123550.0004</v>
      </c>
      <c r="I860" s="6">
        <v>600</v>
      </c>
      <c r="J860" s="11">
        <f>Análises!F860</f>
        <v>0.45690003575265059</v>
      </c>
    </row>
    <row r="861" spans="1:10">
      <c r="A861" s="6" t="s">
        <v>177</v>
      </c>
      <c r="B861" s="7">
        <v>44690</v>
      </c>
      <c r="C861" s="6" t="s">
        <v>160</v>
      </c>
      <c r="D861" s="6" t="s">
        <v>4</v>
      </c>
      <c r="E861" s="6" t="s">
        <v>1</v>
      </c>
      <c r="F861" s="6">
        <v>478480</v>
      </c>
      <c r="G861" s="6">
        <v>3750</v>
      </c>
      <c r="H861" s="12">
        <v>135750.00120000003</v>
      </c>
      <c r="I861" s="6">
        <v>550</v>
      </c>
      <c r="J861" s="11">
        <f>Análises!F861</f>
        <v>0.21546960251518557</v>
      </c>
    </row>
    <row r="862" spans="1:10">
      <c r="A862" s="6" t="s">
        <v>177</v>
      </c>
      <c r="B862" s="7">
        <v>44691</v>
      </c>
      <c r="C862" s="6" t="s">
        <v>160</v>
      </c>
      <c r="D862" s="6" t="s">
        <v>4</v>
      </c>
      <c r="E862" s="6" t="s">
        <v>1</v>
      </c>
      <c r="F862" s="6">
        <v>428812</v>
      </c>
      <c r="G862" s="6">
        <v>3300</v>
      </c>
      <c r="H862" s="12">
        <v>116880.0001</v>
      </c>
      <c r="I862" s="6">
        <v>700</v>
      </c>
      <c r="J862" s="11">
        <f>Análises!F862</f>
        <v>0.79671457751821129</v>
      </c>
    </row>
    <row r="863" spans="1:10">
      <c r="A863" s="6" t="s">
        <v>177</v>
      </c>
      <c r="B863" s="7">
        <v>44692</v>
      </c>
      <c r="C863" s="6" t="s">
        <v>160</v>
      </c>
      <c r="D863" s="6" t="s">
        <v>4</v>
      </c>
      <c r="E863" s="6" t="s">
        <v>1</v>
      </c>
      <c r="F863" s="6">
        <v>1177535</v>
      </c>
      <c r="G863" s="6">
        <v>11050</v>
      </c>
      <c r="H863" s="12">
        <v>365660.00089999998</v>
      </c>
      <c r="I863" s="6">
        <v>1250</v>
      </c>
      <c r="J863" s="11">
        <f>Análises!F863</f>
        <v>2.5542851493221708E-2</v>
      </c>
    </row>
    <row r="864" spans="1:10">
      <c r="A864" s="6" t="s">
        <v>177</v>
      </c>
      <c r="B864" s="7">
        <v>44693</v>
      </c>
      <c r="C864" s="6" t="s">
        <v>160</v>
      </c>
      <c r="D864" s="6" t="s">
        <v>4</v>
      </c>
      <c r="E864" s="6" t="s">
        <v>1</v>
      </c>
      <c r="F864" s="6">
        <v>426500</v>
      </c>
      <c r="G864" s="6">
        <v>3600</v>
      </c>
      <c r="H864" s="12">
        <v>128279.99879999999</v>
      </c>
      <c r="I864" s="6">
        <v>650</v>
      </c>
      <c r="J864" s="11">
        <f>Análises!F864</f>
        <v>0.52011226866335158</v>
      </c>
    </row>
    <row r="865" spans="1:10">
      <c r="A865" s="6" t="s">
        <v>177</v>
      </c>
      <c r="B865" s="7">
        <v>44694</v>
      </c>
      <c r="C865" s="6" t="s">
        <v>160</v>
      </c>
      <c r="D865" s="6" t="s">
        <v>4</v>
      </c>
      <c r="E865" s="6" t="s">
        <v>1</v>
      </c>
      <c r="F865" s="6">
        <v>54237</v>
      </c>
      <c r="G865" s="6">
        <v>350</v>
      </c>
      <c r="H865" s="12">
        <v>10779.99985</v>
      </c>
      <c r="I865" s="6">
        <v>550</v>
      </c>
      <c r="J865" s="11">
        <f>Análises!F865</f>
        <v>14.306122661959035</v>
      </c>
    </row>
    <row r="866" spans="1:10">
      <c r="A866" s="6" t="s">
        <v>177</v>
      </c>
      <c r="B866" s="7">
        <v>44695</v>
      </c>
      <c r="C866" s="6" t="s">
        <v>160</v>
      </c>
      <c r="D866" s="6" t="s">
        <v>4</v>
      </c>
      <c r="E866" s="6" t="s">
        <v>1</v>
      </c>
      <c r="F866" s="6">
        <v>506916</v>
      </c>
      <c r="G866" s="6">
        <v>4450</v>
      </c>
      <c r="H866" s="12">
        <v>133699.99859999999</v>
      </c>
      <c r="I866" s="6">
        <v>550</v>
      </c>
      <c r="J866" s="11">
        <f>Análises!F866</f>
        <v>0.23410622085077576</v>
      </c>
    </row>
    <row r="867" spans="1:10">
      <c r="A867" s="6" t="s">
        <v>177</v>
      </c>
      <c r="B867" s="7">
        <v>44696</v>
      </c>
      <c r="C867" s="6" t="s">
        <v>160</v>
      </c>
      <c r="D867" s="6" t="s">
        <v>4</v>
      </c>
      <c r="E867" s="6" t="s">
        <v>1</v>
      </c>
      <c r="F867" s="6">
        <v>250960</v>
      </c>
      <c r="G867" s="6">
        <v>2100</v>
      </c>
      <c r="H867" s="12">
        <v>64879.999519999998</v>
      </c>
      <c r="I867" s="6">
        <v>500</v>
      </c>
      <c r="J867" s="11">
        <f>Análises!F867</f>
        <v>1.3119605596445911</v>
      </c>
    </row>
    <row r="868" spans="1:10">
      <c r="A868" s="6" t="s">
        <v>177</v>
      </c>
      <c r="B868" s="7">
        <v>44697</v>
      </c>
      <c r="C868" s="6" t="s">
        <v>160</v>
      </c>
      <c r="D868" s="6" t="s">
        <v>4</v>
      </c>
      <c r="E868" s="6" t="s">
        <v>1</v>
      </c>
      <c r="F868" s="6">
        <v>2286228</v>
      </c>
      <c r="G868" s="6">
        <v>17650</v>
      </c>
      <c r="H868" s="12">
        <v>603380.00199999998</v>
      </c>
      <c r="I868" s="6">
        <v>1550</v>
      </c>
      <c r="J868" s="11">
        <f>Análises!F868</f>
        <v>-0.22934137946454511</v>
      </c>
    </row>
    <row r="869" spans="1:10">
      <c r="A869" s="6" t="s">
        <v>177</v>
      </c>
      <c r="B869" s="7">
        <v>44698</v>
      </c>
      <c r="C869" s="6" t="s">
        <v>160</v>
      </c>
      <c r="D869" s="6" t="s">
        <v>4</v>
      </c>
      <c r="E869" s="6" t="s">
        <v>1</v>
      </c>
      <c r="F869" s="6">
        <v>915451</v>
      </c>
      <c r="G869" s="6">
        <v>6250</v>
      </c>
      <c r="H869" s="12">
        <v>220559.99900000001</v>
      </c>
      <c r="I869" s="6">
        <v>750</v>
      </c>
      <c r="J869" s="11">
        <f>Análises!F869</f>
        <v>2.0130581339003313E-2</v>
      </c>
    </row>
    <row r="870" spans="1:10">
      <c r="A870" s="6" t="s">
        <v>177</v>
      </c>
      <c r="B870" s="7">
        <v>44699</v>
      </c>
      <c r="C870" s="6" t="s">
        <v>160</v>
      </c>
      <c r="D870" s="6" t="s">
        <v>4</v>
      </c>
      <c r="E870" s="6" t="s">
        <v>1</v>
      </c>
      <c r="F870" s="6">
        <v>159478</v>
      </c>
      <c r="G870" s="6">
        <v>1000</v>
      </c>
      <c r="H870" s="12">
        <v>33899.999980000001</v>
      </c>
      <c r="I870" s="6">
        <v>600</v>
      </c>
      <c r="J870" s="11">
        <f>Análises!F870</f>
        <v>4.3097345164069232</v>
      </c>
    </row>
    <row r="871" spans="1:10">
      <c r="A871" s="6" t="s">
        <v>177</v>
      </c>
      <c r="B871" s="7">
        <v>44700</v>
      </c>
      <c r="C871" s="6" t="s">
        <v>160</v>
      </c>
      <c r="D871" s="6" t="s">
        <v>4</v>
      </c>
      <c r="E871" s="6" t="s">
        <v>1</v>
      </c>
      <c r="F871" s="6">
        <v>1228924</v>
      </c>
      <c r="G871" s="6">
        <v>9500</v>
      </c>
      <c r="H871" s="12">
        <v>318970.00320000004</v>
      </c>
      <c r="I871" s="6">
        <v>900</v>
      </c>
      <c r="J871" s="11">
        <f>Análises!F871</f>
        <v>-0.15352541840523776</v>
      </c>
    </row>
    <row r="872" spans="1:10">
      <c r="A872" s="6" t="s">
        <v>177</v>
      </c>
      <c r="B872" s="7">
        <v>44701</v>
      </c>
      <c r="C872" s="6" t="s">
        <v>160</v>
      </c>
      <c r="D872" s="6" t="s">
        <v>4</v>
      </c>
      <c r="E872" s="6" t="s">
        <v>1</v>
      </c>
      <c r="F872" s="6">
        <v>938283</v>
      </c>
      <c r="G872" s="6">
        <v>6700</v>
      </c>
      <c r="H872" s="12">
        <v>248640.0001</v>
      </c>
      <c r="I872" s="6">
        <v>850</v>
      </c>
      <c r="J872" s="11">
        <f>Análises!F872</f>
        <v>2.5579150166675033E-2</v>
      </c>
    </row>
    <row r="873" spans="1:10">
      <c r="A873" s="6" t="s">
        <v>177</v>
      </c>
      <c r="B873" s="7">
        <v>44702</v>
      </c>
      <c r="C873" s="6" t="s">
        <v>160</v>
      </c>
      <c r="D873" s="6" t="s">
        <v>4</v>
      </c>
      <c r="E873" s="6" t="s">
        <v>1</v>
      </c>
      <c r="F873" s="6">
        <v>154572</v>
      </c>
      <c r="G873" s="6">
        <v>1300</v>
      </c>
      <c r="H873" s="12">
        <v>40930.000070000002</v>
      </c>
      <c r="I873" s="6">
        <v>500</v>
      </c>
      <c r="J873" s="11">
        <f>Análises!F873</f>
        <v>2.6647935436956862</v>
      </c>
    </row>
    <row r="874" spans="1:10">
      <c r="A874" s="6" t="s">
        <v>177</v>
      </c>
      <c r="B874" s="7">
        <v>44703</v>
      </c>
      <c r="C874" s="6" t="s">
        <v>160</v>
      </c>
      <c r="D874" s="6" t="s">
        <v>4</v>
      </c>
      <c r="E874" s="6" t="s">
        <v>1</v>
      </c>
      <c r="F874" s="6">
        <v>378171</v>
      </c>
      <c r="G874" s="6">
        <v>3500</v>
      </c>
      <c r="H874" s="12">
        <v>109250.00079999999</v>
      </c>
      <c r="I874" s="6">
        <v>450</v>
      </c>
      <c r="J874" s="11">
        <f>Análises!F874</f>
        <v>0.23569793145484358</v>
      </c>
    </row>
    <row r="875" spans="1:10">
      <c r="A875" s="6" t="s">
        <v>177</v>
      </c>
      <c r="B875" s="7">
        <v>44704</v>
      </c>
      <c r="C875" s="6" t="s">
        <v>160</v>
      </c>
      <c r="D875" s="6" t="s">
        <v>4</v>
      </c>
      <c r="E875" s="6" t="s">
        <v>1</v>
      </c>
      <c r="F875" s="6">
        <v>468749</v>
      </c>
      <c r="G875" s="6">
        <v>4200</v>
      </c>
      <c r="H875" s="12">
        <v>134119.9975</v>
      </c>
      <c r="I875" s="6">
        <v>800</v>
      </c>
      <c r="J875" s="11">
        <f>Análises!F875</f>
        <v>0.78944232384137947</v>
      </c>
    </row>
    <row r="876" spans="1:10">
      <c r="A876" s="6" t="s">
        <v>177</v>
      </c>
      <c r="B876" s="7">
        <v>44705</v>
      </c>
      <c r="C876" s="6" t="s">
        <v>160</v>
      </c>
      <c r="D876" s="6" t="s">
        <v>4</v>
      </c>
      <c r="E876" s="6" t="s">
        <v>1</v>
      </c>
      <c r="F876" s="6">
        <v>309823</v>
      </c>
      <c r="G876" s="6">
        <v>3000</v>
      </c>
      <c r="H876" s="12">
        <v>103389.9996</v>
      </c>
      <c r="I876" s="6">
        <v>750</v>
      </c>
      <c r="J876" s="11">
        <f>Análises!F876</f>
        <v>1.1762259490326956</v>
      </c>
    </row>
    <row r="877" spans="1:10">
      <c r="A877" s="6" t="s">
        <v>177</v>
      </c>
      <c r="B877" s="7">
        <v>44706</v>
      </c>
      <c r="C877" s="6" t="s">
        <v>160</v>
      </c>
      <c r="D877" s="6" t="s">
        <v>4</v>
      </c>
      <c r="E877" s="6" t="s">
        <v>1</v>
      </c>
      <c r="F877" s="6">
        <v>327227</v>
      </c>
      <c r="G877" s="6">
        <v>3250</v>
      </c>
      <c r="H877" s="12">
        <v>116559.9996</v>
      </c>
      <c r="I877" s="6">
        <v>650</v>
      </c>
      <c r="J877" s="11">
        <f>Análises!F877</f>
        <v>0.67295813889141443</v>
      </c>
    </row>
    <row r="878" spans="1:10">
      <c r="A878" s="6" t="s">
        <v>177</v>
      </c>
      <c r="B878" s="7">
        <v>44707</v>
      </c>
      <c r="C878" s="6" t="s">
        <v>160</v>
      </c>
      <c r="D878" s="6" t="s">
        <v>4</v>
      </c>
      <c r="E878" s="6" t="s">
        <v>1</v>
      </c>
      <c r="F878" s="6">
        <v>334945</v>
      </c>
      <c r="G878" s="6">
        <v>3600</v>
      </c>
      <c r="H878" s="12">
        <v>120299.9994</v>
      </c>
      <c r="I878" s="6">
        <v>500</v>
      </c>
      <c r="J878" s="11">
        <f>Análises!F878</f>
        <v>0.24688279923632317</v>
      </c>
    </row>
    <row r="879" spans="1:10">
      <c r="A879" s="6" t="s">
        <v>177</v>
      </c>
      <c r="B879" s="7">
        <v>44708</v>
      </c>
      <c r="C879" s="6" t="s">
        <v>160</v>
      </c>
      <c r="D879" s="6" t="s">
        <v>4</v>
      </c>
      <c r="E879" s="6" t="s">
        <v>1</v>
      </c>
      <c r="F879" s="6">
        <v>68859</v>
      </c>
      <c r="G879" s="6">
        <v>750</v>
      </c>
      <c r="H879" s="12">
        <v>25459.999680000001</v>
      </c>
      <c r="I879" s="6">
        <v>450</v>
      </c>
      <c r="J879" s="11">
        <f>Análises!F879</f>
        <v>4.3024352591036639</v>
      </c>
    </row>
    <row r="880" spans="1:10">
      <c r="A880" s="6" t="s">
        <v>177</v>
      </c>
      <c r="B880" s="7">
        <v>44709</v>
      </c>
      <c r="C880" s="6" t="s">
        <v>160</v>
      </c>
      <c r="D880" s="6" t="s">
        <v>4</v>
      </c>
      <c r="E880" s="6" t="s">
        <v>1</v>
      </c>
      <c r="F880" s="6">
        <v>127125</v>
      </c>
      <c r="G880" s="6">
        <v>1000</v>
      </c>
      <c r="H880" s="12">
        <v>35679.999830000001</v>
      </c>
      <c r="I880" s="6">
        <v>500</v>
      </c>
      <c r="J880" s="11">
        <f>Análises!F880</f>
        <v>3.2040358944699019</v>
      </c>
    </row>
    <row r="881" spans="1:10">
      <c r="A881" s="6" t="s">
        <v>177</v>
      </c>
      <c r="B881" s="7">
        <v>44710</v>
      </c>
      <c r="C881" s="6" t="s">
        <v>160</v>
      </c>
      <c r="D881" s="6" t="s">
        <v>4</v>
      </c>
      <c r="E881" s="6" t="s">
        <v>1</v>
      </c>
      <c r="F881" s="6">
        <v>415798</v>
      </c>
      <c r="G881" s="6">
        <v>4000</v>
      </c>
      <c r="H881" s="12">
        <v>131780.0006</v>
      </c>
      <c r="I881" s="6">
        <v>600</v>
      </c>
      <c r="J881" s="11">
        <f>Análises!F881</f>
        <v>0.36591287889248958</v>
      </c>
    </row>
    <row r="882" spans="1:10">
      <c r="A882" s="6" t="s">
        <v>177</v>
      </c>
      <c r="B882" s="7">
        <v>44711</v>
      </c>
      <c r="C882" s="6" t="s">
        <v>160</v>
      </c>
      <c r="D882" s="6" t="s">
        <v>4</v>
      </c>
      <c r="E882" s="6" t="s">
        <v>1</v>
      </c>
      <c r="F882" s="6">
        <v>107671</v>
      </c>
      <c r="G882" s="6">
        <v>1000</v>
      </c>
      <c r="H882" s="12">
        <v>29910.000209999998</v>
      </c>
      <c r="I882" s="6">
        <v>500</v>
      </c>
      <c r="J882" s="11">
        <f>Análises!F882</f>
        <v>4.0150451001952705</v>
      </c>
    </row>
    <row r="883" spans="1:10">
      <c r="A883" s="6" t="s">
        <v>177</v>
      </c>
      <c r="B883" s="7">
        <v>44712</v>
      </c>
      <c r="C883" s="6" t="s">
        <v>160</v>
      </c>
      <c r="D883" s="6" t="s">
        <v>4</v>
      </c>
      <c r="E883" s="6" t="s">
        <v>1</v>
      </c>
      <c r="F883" s="6">
        <v>164356</v>
      </c>
      <c r="G883" s="6">
        <v>1400</v>
      </c>
      <c r="H883" s="12">
        <v>46790.000200000002</v>
      </c>
      <c r="I883" s="6">
        <v>500</v>
      </c>
      <c r="J883" s="11">
        <f>Análises!F883</f>
        <v>2.2058131942474319</v>
      </c>
    </row>
    <row r="884" spans="1:10">
      <c r="A884" s="6" t="s">
        <v>177</v>
      </c>
      <c r="B884" s="7">
        <v>44713</v>
      </c>
      <c r="C884" s="6" t="s">
        <v>160</v>
      </c>
      <c r="D884" s="6" t="s">
        <v>4</v>
      </c>
      <c r="E884" s="6" t="s">
        <v>1</v>
      </c>
      <c r="F884" s="6">
        <v>17662</v>
      </c>
      <c r="G884" s="6">
        <v>100</v>
      </c>
      <c r="H884" s="12">
        <v>3189.9999379999999</v>
      </c>
      <c r="I884" s="6">
        <v>450</v>
      </c>
      <c r="J884" s="11">
        <f>Análises!F884</f>
        <v>41.319750038816458</v>
      </c>
    </row>
    <row r="885" spans="1:10">
      <c r="A885" s="6" t="s">
        <v>177</v>
      </c>
      <c r="B885" s="7">
        <v>44714</v>
      </c>
      <c r="C885" s="6" t="s">
        <v>160</v>
      </c>
      <c r="D885" s="6" t="s">
        <v>4</v>
      </c>
      <c r="E885" s="6" t="s">
        <v>1</v>
      </c>
      <c r="F885" s="6">
        <v>65339</v>
      </c>
      <c r="G885" s="6">
        <v>500</v>
      </c>
      <c r="H885" s="12">
        <v>16679.999830000001</v>
      </c>
      <c r="I885" s="6">
        <v>500</v>
      </c>
      <c r="J885" s="11">
        <f>Análises!F885</f>
        <v>7.9928058470489809</v>
      </c>
    </row>
    <row r="886" spans="1:10">
      <c r="A886" s="6" t="s">
        <v>177</v>
      </c>
      <c r="B886" s="7">
        <v>44715</v>
      </c>
      <c r="C886" s="6" t="s">
        <v>160</v>
      </c>
      <c r="D886" s="6" t="s">
        <v>4</v>
      </c>
      <c r="E886" s="6" t="s">
        <v>1</v>
      </c>
      <c r="F886" s="6">
        <v>59838</v>
      </c>
      <c r="G886" s="6">
        <v>350</v>
      </c>
      <c r="H886" s="12">
        <v>11110.00013</v>
      </c>
      <c r="I886" s="6">
        <v>450</v>
      </c>
      <c r="J886" s="11">
        <f>Análises!F886</f>
        <v>11.151214979328717</v>
      </c>
    </row>
    <row r="887" spans="1:10">
      <c r="A887" s="6" t="s">
        <v>177</v>
      </c>
      <c r="B887" s="7">
        <v>44716</v>
      </c>
      <c r="C887" s="6" t="s">
        <v>160</v>
      </c>
      <c r="D887" s="6" t="s">
        <v>4</v>
      </c>
      <c r="E887" s="6" t="s">
        <v>1</v>
      </c>
      <c r="F887" s="6">
        <v>381577</v>
      </c>
      <c r="G887" s="6">
        <v>4050</v>
      </c>
      <c r="H887" s="12">
        <v>127569.99930000001</v>
      </c>
      <c r="I887" s="6">
        <v>450</v>
      </c>
      <c r="J887" s="11">
        <f>Análises!F887</f>
        <v>5.8242539317784482E-2</v>
      </c>
    </row>
    <row r="888" spans="1:10">
      <c r="A888" s="6" t="s">
        <v>177</v>
      </c>
      <c r="B888" s="7">
        <v>44717</v>
      </c>
      <c r="C888" s="6" t="s">
        <v>160</v>
      </c>
      <c r="D888" s="6" t="s">
        <v>4</v>
      </c>
      <c r="E888" s="6" t="s">
        <v>1</v>
      </c>
      <c r="F888" s="6">
        <v>45491</v>
      </c>
      <c r="G888" s="6">
        <v>400</v>
      </c>
      <c r="H888" s="12">
        <v>11009.99999</v>
      </c>
      <c r="I888" s="6">
        <v>450</v>
      </c>
      <c r="J888" s="11">
        <f>Análises!F888</f>
        <v>11.261580392608156</v>
      </c>
    </row>
    <row r="889" spans="1:10">
      <c r="A889" s="6" t="s">
        <v>177</v>
      </c>
      <c r="B889" s="7">
        <v>44718</v>
      </c>
      <c r="C889" s="6" t="s">
        <v>160</v>
      </c>
      <c r="D889" s="6" t="s">
        <v>4</v>
      </c>
      <c r="E889" s="6" t="s">
        <v>1</v>
      </c>
      <c r="F889" s="6">
        <v>18946</v>
      </c>
      <c r="G889" s="6">
        <v>100</v>
      </c>
      <c r="H889" s="12">
        <v>3599.9999049999997</v>
      </c>
      <c r="I889" s="6">
        <v>400</v>
      </c>
      <c r="J889" s="11">
        <f>Análises!F889</f>
        <v>32.333334212962988</v>
      </c>
    </row>
    <row r="890" spans="1:10">
      <c r="A890" s="6" t="s">
        <v>177</v>
      </c>
      <c r="B890" s="7">
        <v>44719</v>
      </c>
      <c r="C890" s="6" t="s">
        <v>160</v>
      </c>
      <c r="D890" s="6" t="s">
        <v>4</v>
      </c>
      <c r="E890" s="6" t="s">
        <v>1</v>
      </c>
      <c r="F890" s="6">
        <v>114370</v>
      </c>
      <c r="G890" s="6">
        <v>900</v>
      </c>
      <c r="H890" s="12">
        <v>33659.999970000004</v>
      </c>
      <c r="I890" s="6">
        <v>450</v>
      </c>
      <c r="J890" s="11">
        <f>Análises!F890</f>
        <v>3.0106951907403694</v>
      </c>
    </row>
    <row r="891" spans="1:10">
      <c r="A891" s="6" t="s">
        <v>177</v>
      </c>
      <c r="B891" s="7">
        <v>44720</v>
      </c>
      <c r="C891" s="6" t="s">
        <v>160</v>
      </c>
      <c r="D891" s="6" t="s">
        <v>4</v>
      </c>
      <c r="E891" s="6" t="s">
        <v>1</v>
      </c>
      <c r="F891" s="6">
        <v>99698</v>
      </c>
      <c r="G891" s="6">
        <v>1050</v>
      </c>
      <c r="H891" s="12">
        <v>33349.999900000003</v>
      </c>
      <c r="I891" s="6">
        <v>450</v>
      </c>
      <c r="J891" s="11">
        <f>Análises!F891</f>
        <v>3.0479760241318621</v>
      </c>
    </row>
    <row r="892" spans="1:10">
      <c r="A892" s="6" t="s">
        <v>177</v>
      </c>
      <c r="B892" s="7">
        <v>44721</v>
      </c>
      <c r="C892" s="6" t="s">
        <v>160</v>
      </c>
      <c r="D892" s="6" t="s">
        <v>4</v>
      </c>
      <c r="E892" s="6" t="s">
        <v>1</v>
      </c>
      <c r="F892" s="6">
        <v>355165</v>
      </c>
      <c r="G892" s="6">
        <v>4050</v>
      </c>
      <c r="H892" s="12">
        <v>128609.9997</v>
      </c>
      <c r="I892" s="6">
        <v>750</v>
      </c>
      <c r="J892" s="11">
        <f>Análises!F892</f>
        <v>0.74947516153364857</v>
      </c>
    </row>
    <row r="893" spans="1:10">
      <c r="A893" s="6" t="s">
        <v>177</v>
      </c>
      <c r="B893" s="7">
        <v>44722</v>
      </c>
      <c r="C893" s="6" t="s">
        <v>160</v>
      </c>
      <c r="D893" s="6" t="s">
        <v>4</v>
      </c>
      <c r="E893" s="6" t="s">
        <v>1</v>
      </c>
      <c r="F893" s="6">
        <v>101431</v>
      </c>
      <c r="G893" s="6">
        <v>1150</v>
      </c>
      <c r="H893" s="12">
        <v>33930.000309999996</v>
      </c>
      <c r="I893" s="6">
        <v>500</v>
      </c>
      <c r="J893" s="11">
        <f>Análises!F893</f>
        <v>3.4208664494409495</v>
      </c>
    </row>
    <row r="894" spans="1:10">
      <c r="A894" s="6" t="s">
        <v>177</v>
      </c>
      <c r="B894" s="7">
        <v>44723</v>
      </c>
      <c r="C894" s="6" t="s">
        <v>160</v>
      </c>
      <c r="D894" s="6" t="s">
        <v>4</v>
      </c>
      <c r="E894" s="6" t="s">
        <v>1</v>
      </c>
      <c r="F894" s="6">
        <v>123151</v>
      </c>
      <c r="G894" s="6">
        <v>1200</v>
      </c>
      <c r="H894" s="12">
        <v>36440.0003</v>
      </c>
      <c r="I894" s="6">
        <v>550</v>
      </c>
      <c r="J894" s="11">
        <f>Análises!F894</f>
        <v>3.5279911811636291</v>
      </c>
    </row>
    <row r="895" spans="1:10">
      <c r="A895" s="6" t="s">
        <v>177</v>
      </c>
      <c r="B895" s="7">
        <v>44724</v>
      </c>
      <c r="C895" s="6" t="s">
        <v>160</v>
      </c>
      <c r="D895" s="6" t="s">
        <v>4</v>
      </c>
      <c r="E895" s="6" t="s">
        <v>1</v>
      </c>
      <c r="F895" s="6">
        <v>24078</v>
      </c>
      <c r="G895" s="6">
        <v>200</v>
      </c>
      <c r="H895" s="12">
        <v>5769.9999809999999</v>
      </c>
      <c r="I895" s="6">
        <v>450</v>
      </c>
      <c r="J895" s="11">
        <f>Análises!F895</f>
        <v>22.396880492987997</v>
      </c>
    </row>
    <row r="896" spans="1:10">
      <c r="A896" s="6" t="s">
        <v>177</v>
      </c>
      <c r="B896" s="7">
        <v>44725</v>
      </c>
      <c r="C896" s="6" t="s">
        <v>160</v>
      </c>
      <c r="D896" s="6" t="s">
        <v>4</v>
      </c>
      <c r="E896" s="6" t="s">
        <v>1</v>
      </c>
      <c r="F896" s="6">
        <v>517801</v>
      </c>
      <c r="G896" s="6">
        <v>5250</v>
      </c>
      <c r="H896" s="12">
        <v>181720.00109999999</v>
      </c>
      <c r="I896" s="6">
        <v>550</v>
      </c>
      <c r="J896" s="11">
        <f>Análises!F896</f>
        <v>-9.2009690726333568E-2</v>
      </c>
    </row>
    <row r="897" spans="1:10">
      <c r="A897" s="6" t="s">
        <v>177</v>
      </c>
      <c r="B897" s="7">
        <v>44726</v>
      </c>
      <c r="C897" s="6" t="s">
        <v>160</v>
      </c>
      <c r="D897" s="6" t="s">
        <v>4</v>
      </c>
      <c r="E897" s="6" t="s">
        <v>1</v>
      </c>
      <c r="F897" s="6">
        <v>145104</v>
      </c>
      <c r="G897" s="6">
        <v>1250</v>
      </c>
      <c r="H897" s="12">
        <v>41420.000079999998</v>
      </c>
      <c r="I897" s="6">
        <v>550</v>
      </c>
      <c r="J897" s="11">
        <f>Análises!F897</f>
        <v>2.9835828025425735</v>
      </c>
    </row>
    <row r="898" spans="1:10">
      <c r="A898" s="6" t="s">
        <v>177</v>
      </c>
      <c r="B898" s="7">
        <v>44727</v>
      </c>
      <c r="C898" s="6" t="s">
        <v>160</v>
      </c>
      <c r="D898" s="6" t="s">
        <v>4</v>
      </c>
      <c r="E898" s="6" t="s">
        <v>1</v>
      </c>
      <c r="F898" s="6">
        <v>179950</v>
      </c>
      <c r="G898" s="6">
        <v>1750</v>
      </c>
      <c r="H898" s="12">
        <v>58679.999709999996</v>
      </c>
      <c r="I898" s="6">
        <v>450</v>
      </c>
      <c r="J898" s="11">
        <f>Análises!F898</f>
        <v>1.3006135083022823</v>
      </c>
    </row>
    <row r="899" spans="1:10">
      <c r="A899" s="6" t="s">
        <v>177</v>
      </c>
      <c r="B899" s="7">
        <v>44728</v>
      </c>
      <c r="C899" s="6" t="s">
        <v>160</v>
      </c>
      <c r="D899" s="6" t="s">
        <v>4</v>
      </c>
      <c r="E899" s="6" t="s">
        <v>1</v>
      </c>
      <c r="F899" s="6">
        <v>258531</v>
      </c>
      <c r="G899" s="6">
        <v>2300</v>
      </c>
      <c r="H899" s="12">
        <v>80339.999789999987</v>
      </c>
      <c r="I899" s="6">
        <v>500</v>
      </c>
      <c r="J899" s="11">
        <f>Análises!F899</f>
        <v>0.86706497874139499</v>
      </c>
    </row>
    <row r="900" spans="1:10">
      <c r="A900" s="6" t="s">
        <v>177</v>
      </c>
      <c r="B900" s="7">
        <v>44729</v>
      </c>
      <c r="C900" s="6" t="s">
        <v>160</v>
      </c>
      <c r="D900" s="6" t="s">
        <v>4</v>
      </c>
      <c r="E900" s="6" t="s">
        <v>1</v>
      </c>
      <c r="F900" s="6">
        <v>272500</v>
      </c>
      <c r="G900" s="6">
        <v>3100</v>
      </c>
      <c r="H900" s="12">
        <v>104459.99960000001</v>
      </c>
      <c r="I900" s="6">
        <v>500</v>
      </c>
      <c r="J900" s="11">
        <f>Análises!F900</f>
        <v>0.43595635242564162</v>
      </c>
    </row>
    <row r="901" spans="1:10">
      <c r="A901" s="6" t="s">
        <v>177</v>
      </c>
      <c r="B901" s="7">
        <v>44730</v>
      </c>
      <c r="C901" s="6" t="s">
        <v>160</v>
      </c>
      <c r="D901" s="6" t="s">
        <v>4</v>
      </c>
      <c r="E901" s="6" t="s">
        <v>1</v>
      </c>
      <c r="F901" s="6">
        <v>273197</v>
      </c>
      <c r="G901" s="6">
        <v>2850</v>
      </c>
      <c r="H901" s="12">
        <v>87730.000500000009</v>
      </c>
      <c r="I901" s="6">
        <v>550</v>
      </c>
      <c r="J901" s="11">
        <f>Análises!F901</f>
        <v>0.88077053527430427</v>
      </c>
    </row>
    <row r="902" spans="1:10">
      <c r="A902" s="6" t="s">
        <v>177</v>
      </c>
      <c r="B902" s="7">
        <v>44731</v>
      </c>
      <c r="C902" s="6" t="s">
        <v>160</v>
      </c>
      <c r="D902" s="6" t="s">
        <v>4</v>
      </c>
      <c r="E902" s="6" t="s">
        <v>1</v>
      </c>
      <c r="F902" s="6">
        <v>775904</v>
      </c>
      <c r="G902" s="6">
        <v>8600</v>
      </c>
      <c r="H902" s="12">
        <v>253990.00200000001</v>
      </c>
      <c r="I902" s="6">
        <v>700</v>
      </c>
      <c r="J902" s="11">
        <f>Análises!F902</f>
        <v>-0.17319580162056933</v>
      </c>
    </row>
    <row r="903" spans="1:10">
      <c r="A903" s="6" t="s">
        <v>177</v>
      </c>
      <c r="B903" s="7">
        <v>44732</v>
      </c>
      <c r="C903" s="6" t="s">
        <v>160</v>
      </c>
      <c r="D903" s="6" t="s">
        <v>4</v>
      </c>
      <c r="E903" s="6" t="s">
        <v>1</v>
      </c>
      <c r="F903" s="6">
        <v>120251</v>
      </c>
      <c r="G903" s="6">
        <v>1300</v>
      </c>
      <c r="H903" s="12">
        <v>39440.000060000006</v>
      </c>
      <c r="I903" s="6">
        <v>450</v>
      </c>
      <c r="J903" s="11">
        <f>Análises!F903</f>
        <v>2.4229208872876451</v>
      </c>
    </row>
    <row r="904" spans="1:10">
      <c r="A904" s="6" t="s">
        <v>177</v>
      </c>
      <c r="B904" s="7">
        <v>44733</v>
      </c>
      <c r="C904" s="6" t="s">
        <v>160</v>
      </c>
      <c r="D904" s="6" t="s">
        <v>4</v>
      </c>
      <c r="E904" s="6" t="s">
        <v>1</v>
      </c>
      <c r="F904" s="6">
        <v>139406</v>
      </c>
      <c r="G904" s="6">
        <v>1200</v>
      </c>
      <c r="H904" s="12">
        <v>39049.999479999999</v>
      </c>
      <c r="I904" s="6">
        <v>450</v>
      </c>
      <c r="J904" s="11">
        <f>Análises!F904</f>
        <v>2.4571063200434136</v>
      </c>
    </row>
    <row r="905" spans="1:10">
      <c r="A905" s="6" t="s">
        <v>177</v>
      </c>
      <c r="B905" s="7">
        <v>44734</v>
      </c>
      <c r="C905" s="6" t="s">
        <v>160</v>
      </c>
      <c r="D905" s="6" t="s">
        <v>4</v>
      </c>
      <c r="E905" s="6" t="s">
        <v>1</v>
      </c>
      <c r="F905" s="6">
        <v>60314</v>
      </c>
      <c r="G905" s="6">
        <v>550</v>
      </c>
      <c r="H905" s="12">
        <v>16939.99958</v>
      </c>
      <c r="I905" s="6">
        <v>550</v>
      </c>
      <c r="J905" s="11">
        <f>Análises!F905</f>
        <v>8.7402599817537894</v>
      </c>
    </row>
    <row r="906" spans="1:10">
      <c r="A906" s="6" t="s">
        <v>177</v>
      </c>
      <c r="B906" s="7">
        <v>44735</v>
      </c>
      <c r="C906" s="6" t="s">
        <v>160</v>
      </c>
      <c r="D906" s="6" t="s">
        <v>4</v>
      </c>
      <c r="E906" s="6" t="s">
        <v>1</v>
      </c>
      <c r="F906" s="6">
        <v>563074</v>
      </c>
      <c r="G906" s="6">
        <v>4300</v>
      </c>
      <c r="H906" s="12">
        <v>142709.99850000002</v>
      </c>
      <c r="I906" s="6">
        <v>700</v>
      </c>
      <c r="J906" s="11">
        <f>Análises!F906</f>
        <v>0.47151567659781018</v>
      </c>
    </row>
    <row r="907" spans="1:10">
      <c r="A907" s="6" t="s">
        <v>177</v>
      </c>
      <c r="B907" s="7">
        <v>44736</v>
      </c>
      <c r="C907" s="6" t="s">
        <v>160</v>
      </c>
      <c r="D907" s="6" t="s">
        <v>4</v>
      </c>
      <c r="E907" s="6" t="s">
        <v>1</v>
      </c>
      <c r="F907" s="6">
        <v>168655</v>
      </c>
      <c r="G907" s="6">
        <v>900</v>
      </c>
      <c r="H907" s="12">
        <v>27299.999830000001</v>
      </c>
      <c r="I907" s="6">
        <v>500</v>
      </c>
      <c r="J907" s="11">
        <f>Análises!F907</f>
        <v>4.4945055287203637</v>
      </c>
    </row>
    <row r="908" spans="1:10">
      <c r="A908" s="6" t="s">
        <v>177</v>
      </c>
      <c r="B908" s="7">
        <v>44737</v>
      </c>
      <c r="C908" s="6" t="s">
        <v>160</v>
      </c>
      <c r="D908" s="6" t="s">
        <v>4</v>
      </c>
      <c r="E908" s="6" t="s">
        <v>1</v>
      </c>
      <c r="F908" s="6">
        <v>111963</v>
      </c>
      <c r="G908" s="6">
        <v>850</v>
      </c>
      <c r="H908" s="12">
        <v>29379.999400000001</v>
      </c>
      <c r="I908" s="6">
        <v>600</v>
      </c>
      <c r="J908" s="11">
        <f>Análises!F908</f>
        <v>5.1266168712038844</v>
      </c>
    </row>
    <row r="909" spans="1:10">
      <c r="A909" s="6" t="s">
        <v>177</v>
      </c>
      <c r="B909" s="7">
        <v>44738</v>
      </c>
      <c r="C909" s="6" t="s">
        <v>160</v>
      </c>
      <c r="D909" s="6" t="s">
        <v>4</v>
      </c>
      <c r="E909" s="6" t="s">
        <v>1</v>
      </c>
      <c r="F909" s="6">
        <v>1026304</v>
      </c>
      <c r="G909" s="6">
        <v>8400</v>
      </c>
      <c r="H909" s="12">
        <v>277579.99859999999</v>
      </c>
      <c r="I909" s="6">
        <v>1650</v>
      </c>
      <c r="J909" s="11">
        <f>Análises!F909</f>
        <v>0.78326969701195182</v>
      </c>
    </row>
    <row r="910" spans="1:10">
      <c r="A910" s="6" t="s">
        <v>177</v>
      </c>
      <c r="B910" s="7">
        <v>44739</v>
      </c>
      <c r="C910" s="6" t="s">
        <v>160</v>
      </c>
      <c r="D910" s="6" t="s">
        <v>4</v>
      </c>
      <c r="E910" s="6" t="s">
        <v>1</v>
      </c>
      <c r="F910" s="6">
        <v>1391924</v>
      </c>
      <c r="G910" s="6">
        <v>12900</v>
      </c>
      <c r="H910" s="12">
        <v>422840.00379999995</v>
      </c>
      <c r="I910" s="6">
        <v>1800</v>
      </c>
      <c r="J910" s="11">
        <f>Análises!F910</f>
        <v>0.27707878901499544</v>
      </c>
    </row>
    <row r="911" spans="1:10">
      <c r="A911" s="6" t="s">
        <v>177</v>
      </c>
      <c r="B911" s="7">
        <v>44740</v>
      </c>
      <c r="C911" s="6" t="s">
        <v>160</v>
      </c>
      <c r="D911" s="6" t="s">
        <v>4</v>
      </c>
      <c r="E911" s="6" t="s">
        <v>1</v>
      </c>
      <c r="F911" s="6">
        <v>147551</v>
      </c>
      <c r="G911" s="6">
        <v>1100</v>
      </c>
      <c r="H911" s="12">
        <v>38500.000829999997</v>
      </c>
      <c r="I911" s="6">
        <v>450</v>
      </c>
      <c r="J911" s="11">
        <f>Análises!F911</f>
        <v>2.5064934308989728</v>
      </c>
    </row>
    <row r="912" spans="1:10">
      <c r="A912" s="6" t="s">
        <v>177</v>
      </c>
      <c r="B912" s="7">
        <v>44741</v>
      </c>
      <c r="C912" s="6" t="s">
        <v>160</v>
      </c>
      <c r="D912" s="6" t="s">
        <v>4</v>
      </c>
      <c r="E912" s="6" t="s">
        <v>1</v>
      </c>
      <c r="F912" s="6">
        <v>66794</v>
      </c>
      <c r="G912" s="6">
        <v>450</v>
      </c>
      <c r="H912" s="12">
        <v>17329.999799999998</v>
      </c>
      <c r="I912" s="6">
        <v>500</v>
      </c>
      <c r="J912" s="11">
        <f>Análises!F912</f>
        <v>7.6555107750203222</v>
      </c>
    </row>
    <row r="913" spans="1:10">
      <c r="A913" s="6" t="s">
        <v>177</v>
      </c>
      <c r="B913" s="7">
        <v>44742</v>
      </c>
      <c r="C913" s="6" t="s">
        <v>160</v>
      </c>
      <c r="D913" s="6" t="s">
        <v>4</v>
      </c>
      <c r="E913" s="6" t="s">
        <v>1</v>
      </c>
      <c r="F913" s="6">
        <v>118882</v>
      </c>
      <c r="G913" s="6">
        <v>950</v>
      </c>
      <c r="H913" s="12">
        <v>32309.999939999998</v>
      </c>
      <c r="I913" s="6">
        <v>550</v>
      </c>
      <c r="J913" s="11">
        <f>Análises!F913</f>
        <v>4.1067780967628194</v>
      </c>
    </row>
    <row r="914" spans="1:10">
      <c r="A914" s="6" t="s">
        <v>177</v>
      </c>
      <c r="B914" s="7">
        <v>44743</v>
      </c>
      <c r="C914" s="6" t="s">
        <v>160</v>
      </c>
      <c r="D914" s="6" t="s">
        <v>4</v>
      </c>
      <c r="E914" s="6" t="s">
        <v>1</v>
      </c>
      <c r="F914" s="6">
        <v>148010</v>
      </c>
      <c r="G914" s="6">
        <v>1200</v>
      </c>
      <c r="H914" s="12">
        <v>41969.999430000003</v>
      </c>
      <c r="I914" s="6">
        <v>500</v>
      </c>
      <c r="J914" s="11">
        <f>Análises!F914</f>
        <v>2.5739814638353451</v>
      </c>
    </row>
    <row r="915" spans="1:10">
      <c r="A915" s="6" t="s">
        <v>177</v>
      </c>
      <c r="B915" s="7">
        <v>44744</v>
      </c>
      <c r="C915" s="6" t="s">
        <v>160</v>
      </c>
      <c r="D915" s="6" t="s">
        <v>4</v>
      </c>
      <c r="E915" s="6" t="s">
        <v>1</v>
      </c>
      <c r="F915" s="6">
        <v>932890</v>
      </c>
      <c r="G915" s="6">
        <v>9850</v>
      </c>
      <c r="H915" s="12">
        <v>352449.99890000001</v>
      </c>
      <c r="I915" s="6">
        <v>600</v>
      </c>
      <c r="J915" s="11">
        <f>Análises!F915</f>
        <v>-0.48928925929413586</v>
      </c>
    </row>
    <row r="916" spans="1:10">
      <c r="A916" s="6" t="s">
        <v>177</v>
      </c>
      <c r="B916" s="7">
        <v>44745</v>
      </c>
      <c r="C916" s="6" t="s">
        <v>160</v>
      </c>
      <c r="D916" s="6" t="s">
        <v>4</v>
      </c>
      <c r="E916" s="6" t="s">
        <v>1</v>
      </c>
      <c r="F916" s="6">
        <v>718359</v>
      </c>
      <c r="G916" s="6">
        <v>7350</v>
      </c>
      <c r="H916" s="12">
        <v>264589.99970000004</v>
      </c>
      <c r="I916" s="6">
        <v>650</v>
      </c>
      <c r="J916" s="11">
        <f>Análises!F916</f>
        <v>-0.2630106949578716</v>
      </c>
    </row>
    <row r="917" spans="1:10">
      <c r="A917" s="6" t="s">
        <v>177</v>
      </c>
      <c r="B917" s="7">
        <v>44746</v>
      </c>
      <c r="C917" s="6" t="s">
        <v>160</v>
      </c>
      <c r="D917" s="6" t="s">
        <v>4</v>
      </c>
      <c r="E917" s="6" t="s">
        <v>1</v>
      </c>
      <c r="F917" s="6">
        <v>433658</v>
      </c>
      <c r="G917" s="6">
        <v>4100</v>
      </c>
      <c r="H917" s="12">
        <v>158599.99980000002</v>
      </c>
      <c r="I917" s="6">
        <v>750</v>
      </c>
      <c r="J917" s="11">
        <f>Análises!F917</f>
        <v>0.4186633056981881</v>
      </c>
    </row>
    <row r="918" spans="1:10">
      <c r="A918" s="6" t="s">
        <v>177</v>
      </c>
      <c r="B918" s="7">
        <v>44747</v>
      </c>
      <c r="C918" s="6" t="s">
        <v>160</v>
      </c>
      <c r="D918" s="6" t="s">
        <v>4</v>
      </c>
      <c r="E918" s="6" t="s">
        <v>1</v>
      </c>
      <c r="F918" s="6">
        <v>29455</v>
      </c>
      <c r="G918" s="6">
        <v>150</v>
      </c>
      <c r="H918" s="12">
        <v>4769.9999809999999</v>
      </c>
      <c r="I918" s="6">
        <v>500</v>
      </c>
      <c r="J918" s="11">
        <f>Análises!F918</f>
        <v>30.446541005761905</v>
      </c>
    </row>
    <row r="919" spans="1:10">
      <c r="A919" s="6" t="s">
        <v>177</v>
      </c>
      <c r="B919" s="7">
        <v>44748</v>
      </c>
      <c r="C919" s="6" t="s">
        <v>160</v>
      </c>
      <c r="D919" s="6" t="s">
        <v>4</v>
      </c>
      <c r="E919" s="6" t="s">
        <v>1</v>
      </c>
      <c r="F919" s="6">
        <v>23973</v>
      </c>
      <c r="G919" s="6">
        <v>150</v>
      </c>
      <c r="H919" s="12">
        <v>4820.0000520000003</v>
      </c>
      <c r="I919" s="6">
        <v>500</v>
      </c>
      <c r="J919" s="11">
        <f>Análises!F919</f>
        <v>30.120331614469453</v>
      </c>
    </row>
    <row r="920" spans="1:10">
      <c r="A920" s="6" t="s">
        <v>177</v>
      </c>
      <c r="B920" s="7">
        <v>44749</v>
      </c>
      <c r="C920" s="6" t="s">
        <v>160</v>
      </c>
      <c r="D920" s="6" t="s">
        <v>4</v>
      </c>
      <c r="E920" s="6" t="s">
        <v>1</v>
      </c>
      <c r="F920" s="6">
        <v>126480</v>
      </c>
      <c r="G920" s="6">
        <v>1250</v>
      </c>
      <c r="H920" s="12">
        <v>37259.999989999997</v>
      </c>
      <c r="I920" s="6">
        <v>500</v>
      </c>
      <c r="J920" s="11">
        <f>Análises!F920</f>
        <v>3.0257648964105655</v>
      </c>
    </row>
    <row r="921" spans="1:10">
      <c r="A921" s="6" t="s">
        <v>177</v>
      </c>
      <c r="B921" s="7">
        <v>44750</v>
      </c>
      <c r="C921" s="6" t="s">
        <v>160</v>
      </c>
      <c r="D921" s="6" t="s">
        <v>4</v>
      </c>
      <c r="E921" s="6" t="s">
        <v>1</v>
      </c>
      <c r="F921" s="6">
        <v>138959</v>
      </c>
      <c r="G921" s="6">
        <v>1400</v>
      </c>
      <c r="H921" s="12">
        <v>39520.000699999997</v>
      </c>
      <c r="I921" s="6">
        <v>400</v>
      </c>
      <c r="J921" s="11">
        <f>Análises!F921</f>
        <v>2.0364371931805154</v>
      </c>
    </row>
    <row r="922" spans="1:10">
      <c r="A922" s="6" t="s">
        <v>177</v>
      </c>
      <c r="B922" s="7">
        <v>44751</v>
      </c>
      <c r="C922" s="6" t="s">
        <v>160</v>
      </c>
      <c r="D922" s="6" t="s">
        <v>4</v>
      </c>
      <c r="E922" s="6" t="s">
        <v>1</v>
      </c>
      <c r="F922" s="6">
        <v>68829</v>
      </c>
      <c r="G922" s="6">
        <v>600</v>
      </c>
      <c r="H922" s="12">
        <v>19479.999779999998</v>
      </c>
      <c r="I922" s="6">
        <v>400</v>
      </c>
      <c r="J922" s="11">
        <f>Análises!F922</f>
        <v>5.1601643406178725</v>
      </c>
    </row>
    <row r="923" spans="1:10">
      <c r="A923" s="6" t="s">
        <v>177</v>
      </c>
      <c r="B923" s="7">
        <v>44752</v>
      </c>
      <c r="C923" s="6" t="s">
        <v>160</v>
      </c>
      <c r="D923" s="6" t="s">
        <v>4</v>
      </c>
      <c r="E923" s="6" t="s">
        <v>1</v>
      </c>
      <c r="F923" s="6">
        <v>49916</v>
      </c>
      <c r="G923" s="6">
        <v>500</v>
      </c>
      <c r="H923" s="12">
        <v>16379.999999999998</v>
      </c>
      <c r="I923" s="6">
        <v>550</v>
      </c>
      <c r="J923" s="11">
        <f>Análises!F923</f>
        <v>9.0732600732600748</v>
      </c>
    </row>
    <row r="924" spans="1:10">
      <c r="A924" s="6" t="s">
        <v>177</v>
      </c>
      <c r="B924" s="7">
        <v>44753</v>
      </c>
      <c r="C924" s="6" t="s">
        <v>160</v>
      </c>
      <c r="D924" s="6" t="s">
        <v>4</v>
      </c>
      <c r="E924" s="6" t="s">
        <v>1</v>
      </c>
      <c r="F924" s="6">
        <v>76014</v>
      </c>
      <c r="G924" s="6">
        <v>800</v>
      </c>
      <c r="H924" s="12">
        <v>22670.000309999999</v>
      </c>
      <c r="I924" s="6">
        <v>450</v>
      </c>
      <c r="J924" s="11">
        <f>Análises!F924</f>
        <v>4.9550065352425223</v>
      </c>
    </row>
    <row r="925" spans="1:10">
      <c r="A925" s="6" t="s">
        <v>177</v>
      </c>
      <c r="B925" s="7">
        <v>44754</v>
      </c>
      <c r="C925" s="6" t="s">
        <v>160</v>
      </c>
      <c r="D925" s="6" t="s">
        <v>4</v>
      </c>
      <c r="E925" s="6" t="s">
        <v>1</v>
      </c>
      <c r="F925" s="6">
        <v>50947</v>
      </c>
      <c r="G925" s="6">
        <v>500</v>
      </c>
      <c r="H925" s="12">
        <v>15990.000249999999</v>
      </c>
      <c r="I925" s="6">
        <v>450</v>
      </c>
      <c r="J925" s="11">
        <f>Análises!F925</f>
        <v>7.4427766034587775</v>
      </c>
    </row>
    <row r="926" spans="1:10">
      <c r="A926" s="6" t="s">
        <v>177</v>
      </c>
      <c r="B926" s="7">
        <v>44755</v>
      </c>
      <c r="C926" s="6" t="s">
        <v>160</v>
      </c>
      <c r="D926" s="6" t="s">
        <v>4</v>
      </c>
      <c r="E926" s="6" t="s">
        <v>1</v>
      </c>
      <c r="F926" s="6">
        <v>55536</v>
      </c>
      <c r="G926" s="6">
        <v>550</v>
      </c>
      <c r="H926" s="12">
        <v>17049.999950000001</v>
      </c>
      <c r="I926" s="6">
        <v>450</v>
      </c>
      <c r="J926" s="11">
        <f>Análises!F926</f>
        <v>6.9178885862694672</v>
      </c>
    </row>
    <row r="927" spans="1:10">
      <c r="A927" s="6" t="s">
        <v>177</v>
      </c>
      <c r="B927" s="7">
        <v>44756</v>
      </c>
      <c r="C927" s="6" t="s">
        <v>160</v>
      </c>
      <c r="D927" s="6" t="s">
        <v>4</v>
      </c>
      <c r="E927" s="6" t="s">
        <v>1</v>
      </c>
      <c r="F927" s="6">
        <v>101410</v>
      </c>
      <c r="G927" s="6">
        <v>600</v>
      </c>
      <c r="H927" s="12">
        <v>17940.000059999998</v>
      </c>
      <c r="I927" s="6">
        <v>650</v>
      </c>
      <c r="J927" s="11">
        <f>Análises!F927</f>
        <v>9.8695651810382454</v>
      </c>
    </row>
    <row r="928" spans="1:10">
      <c r="A928" s="6" t="s">
        <v>177</v>
      </c>
      <c r="B928" s="7">
        <v>44757</v>
      </c>
      <c r="C928" s="6" t="s">
        <v>160</v>
      </c>
      <c r="D928" s="6" t="s">
        <v>4</v>
      </c>
      <c r="E928" s="6" t="s">
        <v>1</v>
      </c>
      <c r="F928" s="6">
        <v>134245</v>
      </c>
      <c r="G928" s="6">
        <v>900</v>
      </c>
      <c r="H928" s="12">
        <v>25750.000239999998</v>
      </c>
      <c r="I928" s="6">
        <v>600</v>
      </c>
      <c r="J928" s="11">
        <f>Análises!F928</f>
        <v>5.9902911969836943</v>
      </c>
    </row>
    <row r="929" spans="1:10">
      <c r="A929" s="6" t="s">
        <v>177</v>
      </c>
      <c r="B929" s="7">
        <v>44758</v>
      </c>
      <c r="C929" s="6" t="s">
        <v>160</v>
      </c>
      <c r="D929" s="6" t="s">
        <v>4</v>
      </c>
      <c r="E929" s="6" t="s">
        <v>1</v>
      </c>
      <c r="F929" s="6">
        <v>125650</v>
      </c>
      <c r="G929" s="6">
        <v>1000</v>
      </c>
      <c r="H929" s="12">
        <v>30080.000759999999</v>
      </c>
      <c r="I929" s="6">
        <v>600</v>
      </c>
      <c r="J929" s="11">
        <f>Análises!F929</f>
        <v>4.9840424019989289</v>
      </c>
    </row>
    <row r="930" spans="1:10">
      <c r="A930" s="6" t="s">
        <v>177</v>
      </c>
      <c r="B930" s="7">
        <v>44759</v>
      </c>
      <c r="C930" s="6" t="s">
        <v>160</v>
      </c>
      <c r="D930" s="6" t="s">
        <v>4</v>
      </c>
      <c r="E930" s="6" t="s">
        <v>1</v>
      </c>
      <c r="F930" s="6">
        <v>50406</v>
      </c>
      <c r="G930" s="6">
        <v>250</v>
      </c>
      <c r="H930" s="12">
        <v>7260.0001099999999</v>
      </c>
      <c r="I930" s="6">
        <v>500</v>
      </c>
      <c r="J930" s="11">
        <f>Análises!F930</f>
        <v>19.661156711745562</v>
      </c>
    </row>
    <row r="931" spans="1:10">
      <c r="A931" s="6" t="s">
        <v>177</v>
      </c>
      <c r="B931" s="7">
        <v>44760</v>
      </c>
      <c r="C931" s="6" t="s">
        <v>160</v>
      </c>
      <c r="D931" s="6" t="s">
        <v>4</v>
      </c>
      <c r="E931" s="6" t="s">
        <v>1</v>
      </c>
      <c r="F931" s="6">
        <v>121769</v>
      </c>
      <c r="G931" s="6">
        <v>650</v>
      </c>
      <c r="H931" s="12">
        <v>18419.999959999997</v>
      </c>
      <c r="I931" s="6">
        <v>550</v>
      </c>
      <c r="J931" s="11">
        <f>Análises!F931</f>
        <v>7.9576547425790567</v>
      </c>
    </row>
    <row r="932" spans="1:10">
      <c r="A932" s="6" t="s">
        <v>177</v>
      </c>
      <c r="B932" s="7">
        <v>44761</v>
      </c>
      <c r="C932" s="6" t="s">
        <v>160</v>
      </c>
      <c r="D932" s="6" t="s">
        <v>4</v>
      </c>
      <c r="E932" s="6" t="s">
        <v>1</v>
      </c>
      <c r="F932" s="6">
        <v>267106</v>
      </c>
      <c r="G932" s="6">
        <v>1700</v>
      </c>
      <c r="H932" s="12">
        <v>50500</v>
      </c>
      <c r="I932" s="6">
        <v>700</v>
      </c>
      <c r="J932" s="11">
        <f>Análises!F932</f>
        <v>3.1584158415841586</v>
      </c>
    </row>
    <row r="933" spans="1:10">
      <c r="A933" s="6" t="s">
        <v>177</v>
      </c>
      <c r="B933" s="7">
        <v>44762</v>
      </c>
      <c r="C933" s="6" t="s">
        <v>160</v>
      </c>
      <c r="D933" s="6" t="s">
        <v>4</v>
      </c>
      <c r="E933" s="6" t="s">
        <v>1</v>
      </c>
      <c r="F933" s="6">
        <v>365539</v>
      </c>
      <c r="G933" s="6">
        <v>2850</v>
      </c>
      <c r="H933" s="12">
        <v>82139.999149999989</v>
      </c>
      <c r="I933" s="6">
        <v>750</v>
      </c>
      <c r="J933" s="11">
        <f>Análises!F933</f>
        <v>1.7392257405447031</v>
      </c>
    </row>
    <row r="934" spans="1:10">
      <c r="A934" s="6" t="s">
        <v>177</v>
      </c>
      <c r="B934" s="7">
        <v>44763</v>
      </c>
      <c r="C934" s="6" t="s">
        <v>160</v>
      </c>
      <c r="D934" s="6" t="s">
        <v>4</v>
      </c>
      <c r="E934" s="6" t="s">
        <v>1</v>
      </c>
      <c r="F934" s="6">
        <v>188758</v>
      </c>
      <c r="G934" s="6">
        <v>1250</v>
      </c>
      <c r="H934" s="12">
        <v>36600.000379999998</v>
      </c>
      <c r="I934" s="6">
        <v>550</v>
      </c>
      <c r="J934" s="11">
        <f>Análises!F934</f>
        <v>3.5081966745050623</v>
      </c>
    </row>
    <row r="935" spans="1:10">
      <c r="A935" s="6" t="s">
        <v>177</v>
      </c>
      <c r="B935" s="7">
        <v>44764</v>
      </c>
      <c r="C935" s="6" t="s">
        <v>160</v>
      </c>
      <c r="D935" s="6" t="s">
        <v>4</v>
      </c>
      <c r="E935" s="6" t="s">
        <v>1</v>
      </c>
      <c r="F935" s="6">
        <v>108426</v>
      </c>
      <c r="G935" s="6">
        <v>650</v>
      </c>
      <c r="H935" s="12">
        <v>19580.00016</v>
      </c>
      <c r="I935" s="6">
        <v>450</v>
      </c>
      <c r="J935" s="11">
        <f>Análises!F935</f>
        <v>5.894790546314276</v>
      </c>
    </row>
    <row r="936" spans="1:10">
      <c r="A936" s="6" t="s">
        <v>177</v>
      </c>
      <c r="B936" s="7">
        <v>44765</v>
      </c>
      <c r="C936" s="6" t="s">
        <v>160</v>
      </c>
      <c r="D936" s="6" t="s">
        <v>4</v>
      </c>
      <c r="E936" s="6" t="s">
        <v>1</v>
      </c>
      <c r="F936" s="6">
        <v>138525</v>
      </c>
      <c r="G936" s="6">
        <v>450</v>
      </c>
      <c r="H936" s="12">
        <v>13650.00045</v>
      </c>
      <c r="I936" s="6">
        <v>600</v>
      </c>
      <c r="J936" s="11">
        <f>Análises!F936</f>
        <v>12.186812752083098</v>
      </c>
    </row>
    <row r="937" spans="1:10">
      <c r="A937" s="6" t="s">
        <v>177</v>
      </c>
      <c r="B937" s="7">
        <v>44766</v>
      </c>
      <c r="C937" s="6" t="s">
        <v>160</v>
      </c>
      <c r="D937" s="6" t="s">
        <v>4</v>
      </c>
      <c r="E937" s="6" t="s">
        <v>1</v>
      </c>
      <c r="F937" s="6">
        <v>150858</v>
      </c>
      <c r="G937" s="6">
        <v>1050</v>
      </c>
      <c r="H937" s="12">
        <v>30260.000110000001</v>
      </c>
      <c r="I937" s="6">
        <v>400</v>
      </c>
      <c r="J937" s="11">
        <f>Análises!F937</f>
        <v>2.9656311818830328</v>
      </c>
    </row>
  </sheetData>
  <autoFilter ref="A1:I937" xr:uid="{00000000-0009-0000-0000-000000000000}">
    <sortState xmlns:xlrd2="http://schemas.microsoft.com/office/spreadsheetml/2017/richdata2" ref="A2:I937">
      <sortCondition ref="A1:A937"/>
    </sortState>
  </autoFilter>
  <phoneticPr fontId="21" type="noConversion"/>
  <conditionalFormatting sqref="J2:J937">
    <cfRule type="cellIs" dxfId="4" priority="1" operator="greaterThan">
      <formula>2</formula>
    </cfRule>
    <cfRule type="cellIs" dxfId="3" priority="2" operator="lessThan">
      <formula>2</formula>
    </cfRule>
  </conditionalFormatting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6E7E-5404-4D84-89A1-A045DF9CC628}">
  <dimension ref="A1:I937"/>
  <sheetViews>
    <sheetView tabSelected="1" workbookViewId="0">
      <selection activeCell="I2" sqref="I2"/>
    </sheetView>
  </sheetViews>
  <sheetFormatPr defaultRowHeight="15.75"/>
  <cols>
    <col min="1" max="1" width="17.75" style="6" customWidth="1"/>
    <col min="2" max="2" width="18.125" style="6" customWidth="1"/>
    <col min="3" max="3" width="18" style="9" customWidth="1"/>
    <col min="4" max="4" width="18" style="6" customWidth="1"/>
    <col min="5" max="5" width="18.125" style="6" customWidth="1"/>
    <col min="6" max="6" width="17.875" style="6" customWidth="1"/>
    <col min="8" max="8" width="18" customWidth="1"/>
    <col min="9" max="9" width="17.875" customWidth="1"/>
  </cols>
  <sheetData>
    <row r="1" spans="1:9" s="5" customFormat="1">
      <c r="A1" s="16" t="s">
        <v>197</v>
      </c>
      <c r="B1" s="16" t="s">
        <v>192</v>
      </c>
      <c r="C1" s="17" t="s">
        <v>193</v>
      </c>
      <c r="D1" s="16" t="s">
        <v>194</v>
      </c>
      <c r="E1" s="16" t="s">
        <v>195</v>
      </c>
      <c r="F1" s="16" t="s">
        <v>196</v>
      </c>
      <c r="H1" s="15" t="s">
        <v>200</v>
      </c>
      <c r="I1" s="15" t="s">
        <v>201</v>
      </c>
    </row>
    <row r="2" spans="1:9">
      <c r="A2" s="6" t="str">
        <f>Base_de_dados!A2</f>
        <v>Ad_01</v>
      </c>
      <c r="B2" s="8">
        <f>Base_de_dados!G2/Base_de_dados!F2</f>
        <v>1.2139079164137692E-2</v>
      </c>
      <c r="C2" s="9">
        <f>Base_de_dados!G2/Base_de_dados!H2</f>
        <v>3.8738240841663232E-2</v>
      </c>
      <c r="D2" s="9">
        <f>Base_de_dados!I2*300</f>
        <v>30000</v>
      </c>
      <c r="E2" s="10">
        <f>Base_de_dados!H2/Base_de_dados!I2</f>
        <v>180.6999969</v>
      </c>
      <c r="F2" s="11">
        <f>(D2-Base_de_dados!H2)/Base_de_dados!H2</f>
        <v>0.66021032178556716</v>
      </c>
      <c r="H2" s="13" t="str">
        <f>Check_duplicidade_faixa_etaria!A2</f>
        <v>30-34</v>
      </c>
      <c r="I2" s="14">
        <f>Check_duplicidade_faixa_etaria!B2</f>
        <v>10.108209426969111</v>
      </c>
    </row>
    <row r="3" spans="1:9">
      <c r="A3" s="6" t="str">
        <f>Base_de_dados!A3</f>
        <v>Ad_01</v>
      </c>
      <c r="B3" s="8">
        <f>Base_de_dados!G3/Base_de_dados!F3</f>
        <v>1.6175994823681657E-2</v>
      </c>
      <c r="C3" s="9">
        <f>Base_de_dados!G3/Base_de_dados!H3</f>
        <v>3.1055900351066704E-2</v>
      </c>
      <c r="D3" s="9">
        <f>Base_de_dados!I3*300</f>
        <v>30000</v>
      </c>
      <c r="E3" s="10">
        <f>Base_de_dados!H3/Base_de_dados!I3</f>
        <v>16.100000139999999</v>
      </c>
      <c r="F3" s="11">
        <f>(D3-Base_de_dados!H3)/Base_de_dados!H3</f>
        <v>17.633540210640021</v>
      </c>
      <c r="H3" s="13" t="str">
        <f>Check_duplicidade_faixa_etaria!A3</f>
        <v>35-39</v>
      </c>
      <c r="I3" s="14">
        <f>Check_duplicidade_faixa_etaria!B3</f>
        <v>7.0856422571190585</v>
      </c>
    </row>
    <row r="4" spans="1:9">
      <c r="A4" s="6" t="str">
        <f>Base_de_dados!A4</f>
        <v>Ad_01</v>
      </c>
      <c r="B4" s="8">
        <f>Base_de_dados!G4/Base_de_dados!F4</f>
        <v>9.9720781810929398E-3</v>
      </c>
      <c r="C4" s="9">
        <f>Base_de_dados!G4/Base_de_dados!H4</f>
        <v>4.201680471011944E-2</v>
      </c>
      <c r="D4" s="9">
        <f>Base_de_dados!I4*300</f>
        <v>15000</v>
      </c>
      <c r="E4" s="10">
        <f>Base_de_dados!H4/Base_de_dados!I4</f>
        <v>23.800001139999999</v>
      </c>
      <c r="F4" s="11">
        <f>(D4-Base_de_dados!H4)/Base_de_dados!H4</f>
        <v>11.605041413035833</v>
      </c>
      <c r="H4" s="13" t="str">
        <f>Check_duplicidade_faixa_etaria!A4</f>
        <v>40-44</v>
      </c>
      <c r="I4" s="14">
        <f>Check_duplicidade_faixa_etaria!B4</f>
        <v>4.7885586295176106</v>
      </c>
    </row>
    <row r="5" spans="1:9">
      <c r="A5" s="6" t="str">
        <f>Base_de_dados!A5</f>
        <v>Ad_01</v>
      </c>
      <c r="B5" s="8">
        <f>Base_de_dados!G5/Base_de_dados!F5</f>
        <v>9.0378557041780709E-3</v>
      </c>
      <c r="C5" s="9">
        <f>Base_de_dados!G5/Base_de_dados!H5</f>
        <v>3.796095334755157E-2</v>
      </c>
      <c r="D5" s="9">
        <f>Base_de_dados!I5*300</f>
        <v>15000</v>
      </c>
      <c r="E5" s="10">
        <f>Base_de_dados!H5/Base_de_dados!I5</f>
        <v>184.40000533999998</v>
      </c>
      <c r="F5" s="11">
        <f>(D5-Base_de_dados!H5)/Base_de_dados!H5</f>
        <v>0.62689800060935297</v>
      </c>
      <c r="H5" s="13" t="str">
        <f>Check_duplicidade_faixa_etaria!A5</f>
        <v>45-49</v>
      </c>
      <c r="I5" s="14">
        <f>Check_duplicidade_faixa_etaria!B5</f>
        <v>3.9843608230372065</v>
      </c>
    </row>
    <row r="6" spans="1:9">
      <c r="A6" s="6" t="str">
        <f>Base_de_dados!A6</f>
        <v>Ad_01</v>
      </c>
      <c r="B6" s="8">
        <f>Base_de_dados!G6/Base_de_dados!F6</f>
        <v>9.3127211771279576E-3</v>
      </c>
      <c r="C6" s="9">
        <f>Base_de_dados!G6/Base_de_dados!H6</f>
        <v>3.3112583000745585E-2</v>
      </c>
      <c r="D6" s="9">
        <f>Base_de_dados!I6*300</f>
        <v>15000</v>
      </c>
      <c r="E6" s="10">
        <f>Base_de_dados!H6/Base_de_dados!I6</f>
        <v>30.199999800000001</v>
      </c>
      <c r="F6" s="11">
        <f>(D6-Base_de_dados!H6)/Base_de_dados!H6</f>
        <v>8.9337749002236748</v>
      </c>
    </row>
    <row r="7" spans="1:9">
      <c r="A7" s="6" t="str">
        <f>Base_de_dados!A7</f>
        <v>Ad_01</v>
      </c>
      <c r="B7" s="8">
        <f>Base_de_dados!G7/Base_de_dados!F7</f>
        <v>1.5750866297646372E-2</v>
      </c>
      <c r="C7" s="9">
        <f>Base_de_dados!G7/Base_de_dados!H7</f>
        <v>3.7115588283484158E-2</v>
      </c>
      <c r="D7" s="9">
        <f>Base_de_dados!I7*300</f>
        <v>30000</v>
      </c>
      <c r="E7" s="10">
        <f>Base_de_dados!H7/Base_de_dados!I7</f>
        <v>94.300000669999989</v>
      </c>
      <c r="F7" s="11">
        <f>(D7-Base_de_dados!H7)/Base_de_dados!H7</f>
        <v>2.1813361385843564</v>
      </c>
    </row>
    <row r="8" spans="1:9">
      <c r="A8" s="6" t="str">
        <f>Base_de_dados!A8</f>
        <v>Ad_01</v>
      </c>
      <c r="B8" s="8">
        <f>Base_de_dados!G8/Base_de_dados!F8</f>
        <v>1.9202703740686687E-2</v>
      </c>
      <c r="C8" s="9">
        <f>Base_de_dados!G8/Base_de_dados!H8</f>
        <v>3.5919540033772623E-2</v>
      </c>
      <c r="D8" s="9">
        <f>Base_de_dados!I8*300</f>
        <v>15000</v>
      </c>
      <c r="E8" s="10">
        <f>Base_de_dados!H8/Base_de_dados!I8</f>
        <v>139.20000075999999</v>
      </c>
      <c r="F8" s="11">
        <f>(D8-Base_de_dados!H8)/Base_de_dados!H8</f>
        <v>1.1551724020263576</v>
      </c>
    </row>
    <row r="9" spans="1:9">
      <c r="A9" s="6" t="str">
        <f>Base_de_dados!A9</f>
        <v>Ad_02</v>
      </c>
      <c r="B9" s="8">
        <f>Base_de_dados!G9/Base_de_dados!F9</f>
        <v>6.8027210884353739E-3</v>
      </c>
      <c r="C9" s="9">
        <f>Base_de_dados!G9/Base_de_dados!H9</f>
        <v>3.4965036236490825E-2</v>
      </c>
      <c r="D9" s="9">
        <f>Base_de_dados!I9*300</f>
        <v>45000</v>
      </c>
      <c r="E9" s="10">
        <f>Base_de_dados!H9/Base_de_dados!I9</f>
        <v>9.5333329866666681</v>
      </c>
      <c r="F9" s="11">
        <f>(D9-Base_de_dados!H9)/Base_de_dados!H9</f>
        <v>30.468532612841745</v>
      </c>
    </row>
    <row r="10" spans="1:9">
      <c r="A10" s="6" t="str">
        <f>Base_de_dados!A10</f>
        <v>Ad_02</v>
      </c>
      <c r="B10" s="8">
        <f>Base_de_dados!G10/Base_de_dados!F10</f>
        <v>5.5987906612171767E-3</v>
      </c>
      <c r="C10" s="9">
        <f>Base_de_dados!G10/Base_de_dados!H10</f>
        <v>5.4945054250694368E-2</v>
      </c>
      <c r="D10" s="9">
        <f>Base_de_dados!I10*300</f>
        <v>30000</v>
      </c>
      <c r="E10" s="10">
        <f>Base_de_dados!H10/Base_de_dados!I10</f>
        <v>18.200000230000001</v>
      </c>
      <c r="F10" s="11">
        <f>(D10-Base_de_dados!H10)/Base_de_dados!H10</f>
        <v>15.483516275208309</v>
      </c>
    </row>
    <row r="11" spans="1:9">
      <c r="A11" s="6" t="str">
        <f>Base_de_dados!A11</f>
        <v>Ad_02</v>
      </c>
      <c r="B11" s="8">
        <f>Base_de_dados!G11/Base_de_dados!F11</f>
        <v>1.173984503404555E-2</v>
      </c>
      <c r="C11" s="9">
        <f>Base_de_dados!G11/Base_de_dados!H11</f>
        <v>0.04</v>
      </c>
      <c r="D11" s="9">
        <f>Base_de_dados!I11*300</f>
        <v>15000</v>
      </c>
      <c r="E11" s="10">
        <f>Base_de_dados!H11/Base_de_dados!I11</f>
        <v>25</v>
      </c>
      <c r="F11" s="11">
        <f>(D11-Base_de_dados!H11)/Base_de_dados!H11</f>
        <v>11</v>
      </c>
    </row>
    <row r="12" spans="1:9">
      <c r="A12" s="6" t="str">
        <f>Base_de_dados!A12</f>
        <v>Ad_02</v>
      </c>
      <c r="B12" s="8">
        <f>Base_de_dados!G12/Base_de_dados!F12</f>
        <v>1.2097749818533753E-2</v>
      </c>
      <c r="C12" s="9">
        <f>Base_de_dados!G12/Base_de_dados!H12</f>
        <v>3.875969106423896E-2</v>
      </c>
      <c r="D12" s="9">
        <f>Base_de_dados!I12*300</f>
        <v>30000</v>
      </c>
      <c r="E12" s="10">
        <f>Base_de_dados!H12/Base_de_dados!I12</f>
        <v>12.899999620000001</v>
      </c>
      <c r="F12" s="11">
        <f>(D12-Base_de_dados!H12)/Base_de_dados!H12</f>
        <v>22.255814638543374</v>
      </c>
    </row>
    <row r="13" spans="1:9">
      <c r="A13" s="6" t="str">
        <f>Base_de_dados!A13</f>
        <v>Ad_02</v>
      </c>
      <c r="B13" s="8">
        <f>Base_de_dados!G13/Base_de_dados!F13</f>
        <v>9.6061479346781949E-3</v>
      </c>
      <c r="C13" s="9">
        <f>Base_de_dados!G13/Base_de_dados!H13</f>
        <v>3.1446541005761906E-2</v>
      </c>
      <c r="D13" s="9">
        <f>Base_de_dados!I13*300</f>
        <v>15000</v>
      </c>
      <c r="E13" s="10">
        <f>Base_de_dados!H13/Base_de_dados!I13</f>
        <v>95.399999620000003</v>
      </c>
      <c r="F13" s="11">
        <f>(D13-Base_de_dados!H13)/Base_de_dados!H13</f>
        <v>2.1446541005761901</v>
      </c>
    </row>
    <row r="14" spans="1:9">
      <c r="A14" s="6" t="str">
        <f>Base_de_dados!A14</f>
        <v>Ad_02</v>
      </c>
      <c r="B14" s="8">
        <f>Base_de_dados!G14/Base_de_dados!F14</f>
        <v>4.5657930782576931E-3</v>
      </c>
      <c r="C14" s="9">
        <f>Base_de_dados!G14/Base_de_dados!H14</f>
        <v>3.9370079329158668E-2</v>
      </c>
      <c r="D14" s="9">
        <f>Base_de_dados!I14*300</f>
        <v>30000</v>
      </c>
      <c r="E14" s="10">
        <f>Base_de_dados!H14/Base_de_dados!I14</f>
        <v>12.69999981</v>
      </c>
      <c r="F14" s="11">
        <f>(D14-Base_de_dados!H14)/Base_de_dados!H14</f>
        <v>22.6220475974952</v>
      </c>
    </row>
    <row r="15" spans="1:9">
      <c r="A15" s="6" t="str">
        <f>Base_de_dados!A15</f>
        <v>Ad_02</v>
      </c>
      <c r="B15" s="8">
        <f>Base_de_dados!G15/Base_de_dados!F15</f>
        <v>2.1231422505307854E-2</v>
      </c>
      <c r="C15" s="9">
        <f>Base_de_dados!G15/Base_de_dados!H15</f>
        <v>3.3333333333333333E-2</v>
      </c>
      <c r="D15" s="9">
        <f>Base_de_dados!I15*300</f>
        <v>15000</v>
      </c>
      <c r="E15" s="10">
        <f>Base_de_dados!H15/Base_de_dados!I15</f>
        <v>30</v>
      </c>
      <c r="F15" s="11">
        <f>(D15-Base_de_dados!H15)/Base_de_dados!H15</f>
        <v>9</v>
      </c>
    </row>
    <row r="16" spans="1:9">
      <c r="A16" s="6" t="str">
        <f>Base_de_dados!A16</f>
        <v>Ad_02</v>
      </c>
      <c r="B16" s="8">
        <f>Base_de_dados!G16/Base_de_dados!F16</f>
        <v>1.5786150284150705E-2</v>
      </c>
      <c r="C16" s="9">
        <f>Base_de_dados!G16/Base_de_dados!H16</f>
        <v>4.7468354926093574E-2</v>
      </c>
      <c r="D16" s="9">
        <f>Base_de_dados!I16*300</f>
        <v>15000</v>
      </c>
      <c r="E16" s="10">
        <f>Base_de_dados!H16/Base_de_dados!I16</f>
        <v>63.199999340000005</v>
      </c>
      <c r="F16" s="11">
        <f>(D16-Base_de_dados!H16)/Base_de_dados!H16</f>
        <v>3.7468354926093577</v>
      </c>
    </row>
    <row r="17" spans="1:6">
      <c r="A17" s="6" t="str">
        <f>Base_de_dados!A17</f>
        <v>Ad_02</v>
      </c>
      <c r="B17" s="8">
        <f>Base_de_dados!G17/Base_de_dados!F17</f>
        <v>2.385984047992365E-2</v>
      </c>
      <c r="C17" s="9">
        <f>Base_de_dados!G17/Base_de_dados!H17</f>
        <v>3.4046691911497541E-2</v>
      </c>
      <c r="D17" s="9">
        <f>Base_de_dados!I17*300</f>
        <v>30000</v>
      </c>
      <c r="E17" s="10">
        <f>Base_de_dados!H17/Base_de_dados!I17</f>
        <v>102.8000021</v>
      </c>
      <c r="F17" s="11">
        <f>(D17-Base_de_dados!H17)/Base_de_dados!H17</f>
        <v>1.9182878781283605</v>
      </c>
    </row>
    <row r="18" spans="1:6">
      <c r="A18" s="6" t="str">
        <f>Base_de_dados!A18</f>
        <v>Ad_02</v>
      </c>
      <c r="B18" s="8">
        <f>Base_de_dados!G18/Base_de_dados!F18</f>
        <v>2.1691973969631236E-2</v>
      </c>
      <c r="C18" s="9">
        <f>Base_de_dados!G18/Base_de_dados!H18</f>
        <v>8.771929932286858E-2</v>
      </c>
      <c r="D18" s="9">
        <f>Base_de_dados!I18*300</f>
        <v>15000</v>
      </c>
      <c r="E18" s="10">
        <f>Base_de_dados!H18/Base_de_dados!I18</f>
        <v>11.399999860000001</v>
      </c>
      <c r="F18" s="11">
        <f>(D18-Base_de_dados!H18)/Base_de_dados!H18</f>
        <v>25.315789796860578</v>
      </c>
    </row>
    <row r="19" spans="1:6">
      <c r="A19" s="6" t="str">
        <f>Base_de_dados!A19</f>
        <v>Ad_03</v>
      </c>
      <c r="B19" s="8">
        <f>Base_de_dados!G19/Base_de_dados!F19</f>
        <v>1.9936204146730464E-2</v>
      </c>
      <c r="C19" s="9">
        <f>Base_de_dados!G19/Base_de_dados!H19</f>
        <v>4.098360558317659E-2</v>
      </c>
      <c r="D19" s="9">
        <f>Base_de_dados!I19*300</f>
        <v>15000</v>
      </c>
      <c r="E19" s="10">
        <f>Base_de_dados!H19/Base_de_dados!I19</f>
        <v>24.40000058</v>
      </c>
      <c r="F19" s="11">
        <f>(D19-Base_de_dados!H19)/Base_de_dados!H19</f>
        <v>11.295081674952975</v>
      </c>
    </row>
    <row r="20" spans="1:6">
      <c r="A20" s="6" t="str">
        <f>Base_de_dados!A20</f>
        <v>Ad_03</v>
      </c>
      <c r="B20" s="8">
        <f>Base_de_dados!G20/Base_de_dados!F20</f>
        <v>1.7053206002728513E-2</v>
      </c>
      <c r="C20" s="9">
        <f>Base_de_dados!G20/Base_de_dados!H20</f>
        <v>3.5714286326530627E-2</v>
      </c>
      <c r="D20" s="9">
        <f>Base_de_dados!I20*300</f>
        <v>30000</v>
      </c>
      <c r="E20" s="10">
        <f>Base_de_dados!H20/Base_de_dados!I20</f>
        <v>27.999999519999996</v>
      </c>
      <c r="F20" s="11">
        <f>(D20-Base_de_dados!H20)/Base_de_dados!H20</f>
        <v>9.7142858979591882</v>
      </c>
    </row>
    <row r="21" spans="1:6">
      <c r="A21" s="6" t="str">
        <f>Base_de_dados!A21</f>
        <v>Ad_03</v>
      </c>
      <c r="B21" s="8">
        <f>Base_de_dados!G21/Base_de_dados!F21</f>
        <v>1.7966223499820338E-2</v>
      </c>
      <c r="C21" s="9">
        <f>Base_de_dados!G21/Base_de_dados!H21</f>
        <v>3.1249999531250003E-2</v>
      </c>
      <c r="D21" s="9">
        <f>Base_de_dados!I21*300</f>
        <v>15000</v>
      </c>
      <c r="E21" s="10">
        <f>Base_de_dados!H21/Base_de_dados!I21</f>
        <v>32.000000480000004</v>
      </c>
      <c r="F21" s="11">
        <f>(D21-Base_de_dados!H21)/Base_de_dados!H21</f>
        <v>8.3749998593750004</v>
      </c>
    </row>
    <row r="22" spans="1:6">
      <c r="A22" s="6" t="str">
        <f>Base_de_dados!A22</f>
        <v>Ad_04</v>
      </c>
      <c r="B22" s="8">
        <f>Base_de_dados!G22/Base_de_dados!F22</f>
        <v>1.080613788631943E-2</v>
      </c>
      <c r="C22" s="9">
        <f>Base_de_dados!G22/Base_de_dados!H22</f>
        <v>2.9585797818703862E-2</v>
      </c>
      <c r="D22" s="9">
        <f>Base_de_dados!I22*300</f>
        <v>15000</v>
      </c>
      <c r="E22" s="10">
        <f>Base_de_dados!H22/Base_de_dados!I22</f>
        <v>33.800001139999999</v>
      </c>
      <c r="F22" s="11">
        <f>(D22-Base_de_dados!H22)/Base_de_dados!H22</f>
        <v>7.8757393456111586</v>
      </c>
    </row>
    <row r="23" spans="1:6">
      <c r="A23" s="6" t="str">
        <f>Base_de_dados!A23</f>
        <v>Ad_04</v>
      </c>
      <c r="B23" s="8">
        <f>Base_de_dados!G23/Base_de_dados!F23</f>
        <v>9.5120327213925621E-3</v>
      </c>
      <c r="C23" s="9">
        <f>Base_de_dados!G23/Base_de_dados!H23</f>
        <v>4.3196543212871294E-2</v>
      </c>
      <c r="D23" s="9">
        <f>Base_de_dados!I23*300</f>
        <v>45000</v>
      </c>
      <c r="E23" s="10">
        <f>Base_de_dados!H23/Base_de_dados!I23</f>
        <v>30.866667426666663</v>
      </c>
      <c r="F23" s="11">
        <f>(D23-Base_de_dados!H23)/Base_de_dados!H23</f>
        <v>8.7192222228960414</v>
      </c>
    </row>
    <row r="24" spans="1:6">
      <c r="A24" s="6" t="str">
        <f>Base_de_dados!A24</f>
        <v>Ad_04</v>
      </c>
      <c r="B24" s="8">
        <f>Base_de_dados!G24/Base_de_dados!F24</f>
        <v>1.4021312394840156E-2</v>
      </c>
      <c r="C24" s="9">
        <f>Base_de_dados!G24/Base_de_dados!H24</f>
        <v>3.8314177786585697E-2</v>
      </c>
      <c r="D24" s="9">
        <f>Base_de_dados!I24*300</f>
        <v>15000</v>
      </c>
      <c r="E24" s="10">
        <f>Base_de_dados!H24/Base_de_dados!I24</f>
        <v>52.1999979</v>
      </c>
      <c r="F24" s="11">
        <f>(D24-Base_de_dados!H24)/Base_de_dados!H24</f>
        <v>4.7471266679878541</v>
      </c>
    </row>
    <row r="25" spans="1:6">
      <c r="A25" s="6" t="str">
        <f>Base_de_dados!A25</f>
        <v>Ad_04</v>
      </c>
      <c r="B25" s="8">
        <f>Base_de_dados!G25/Base_de_dados!F25</f>
        <v>8.2034454470877767E-3</v>
      </c>
      <c r="C25" s="9">
        <f>Base_de_dados!G25/Base_de_dados!H25</f>
        <v>3.2786885761891975E-2</v>
      </c>
      <c r="D25" s="9">
        <f>Base_de_dados!I25*300</f>
        <v>15000</v>
      </c>
      <c r="E25" s="10">
        <f>Base_de_dados!H25/Base_de_dados!I25</f>
        <v>60.999999039999992</v>
      </c>
      <c r="F25" s="11">
        <f>(D25-Base_de_dados!H25)/Base_de_dados!H25</f>
        <v>3.9180328642837963</v>
      </c>
    </row>
    <row r="26" spans="1:6">
      <c r="A26" s="6" t="str">
        <f>Base_de_dados!A26</f>
        <v>Ad_04</v>
      </c>
      <c r="B26" s="8">
        <f>Base_de_dados!G26/Base_de_dados!F26</f>
        <v>8.2014270483064047E-3</v>
      </c>
      <c r="C26" s="9">
        <f>Base_de_dados!G26/Base_de_dados!H26</f>
        <v>3.2679739170831737E-2</v>
      </c>
      <c r="D26" s="9">
        <f>Base_de_dados!I26*300</f>
        <v>30000</v>
      </c>
      <c r="E26" s="10">
        <f>Base_de_dados!H26/Base_de_dados!I26</f>
        <v>30.599999430000004</v>
      </c>
      <c r="F26" s="11">
        <f>(D26-Base_de_dados!H26)/Base_de_dados!H26</f>
        <v>8.803921751249522</v>
      </c>
    </row>
    <row r="27" spans="1:6">
      <c r="A27" s="6" t="str">
        <f>Base_de_dados!A27</f>
        <v>Ad_04</v>
      </c>
      <c r="B27" s="8">
        <f>Base_de_dados!G27/Base_de_dados!F27</f>
        <v>1.3440860215053764E-2</v>
      </c>
      <c r="C27" s="9">
        <f>Base_de_dados!G27/Base_de_dados!H27</f>
        <v>3.3557046765911445E-2</v>
      </c>
      <c r="D27" s="9">
        <f>Base_de_dados!I27*300</f>
        <v>30000</v>
      </c>
      <c r="E27" s="10">
        <f>Base_de_dados!H27/Base_de_dados!I27</f>
        <v>29.800000190000002</v>
      </c>
      <c r="F27" s="11">
        <f>(D27-Base_de_dados!H27)/Base_de_dados!H27</f>
        <v>9.0671140297734336</v>
      </c>
    </row>
    <row r="28" spans="1:6">
      <c r="A28" s="6" t="str">
        <f>Base_de_dados!A28</f>
        <v>Ad_05</v>
      </c>
      <c r="B28" s="8">
        <f>Base_de_dados!G28/Base_de_dados!F28</f>
        <v>1.3116474291710388E-2</v>
      </c>
      <c r="C28" s="9">
        <f>Base_de_dados!G28/Base_de_dados!H28</f>
        <v>4.4247787806406147E-2</v>
      </c>
      <c r="D28" s="9">
        <f>Base_de_dados!I28*300</f>
        <v>45000</v>
      </c>
      <c r="E28" s="10">
        <f>Base_de_dados!H28/Base_de_dados!I28</f>
        <v>7.5333332999999989</v>
      </c>
      <c r="F28" s="11">
        <f>(D28-Base_de_dados!H28)/Base_de_dados!H28</f>
        <v>38.823009025765529</v>
      </c>
    </row>
    <row r="29" spans="1:6">
      <c r="A29" s="6" t="str">
        <f>Base_de_dados!A29</f>
        <v>Ad_06</v>
      </c>
      <c r="B29" s="8">
        <f>Base_de_dados!G29/Base_de_dados!F29</f>
        <v>1.0464082038403181E-2</v>
      </c>
      <c r="C29" s="9">
        <f>Base_de_dados!G29/Base_de_dados!H29</f>
        <v>3.6231883401596311E-2</v>
      </c>
      <c r="D29" s="9">
        <f>Base_de_dados!I29*300</f>
        <v>15000</v>
      </c>
      <c r="E29" s="10">
        <f>Base_de_dados!H29/Base_de_dados!I29</f>
        <v>110.400002</v>
      </c>
      <c r="F29" s="11">
        <f>(D29-Base_de_dados!H29)/Base_de_dados!H29</f>
        <v>1.7173912551197235</v>
      </c>
    </row>
    <row r="30" spans="1:6">
      <c r="A30" s="6" t="str">
        <f>Base_de_dados!A30</f>
        <v>Ad_06</v>
      </c>
      <c r="B30" s="8">
        <f>Base_de_dados!G30/Base_de_dados!F30</f>
        <v>9.1107871720116623E-3</v>
      </c>
      <c r="C30" s="9">
        <f>Base_de_dados!G30/Base_de_dados!H30</f>
        <v>5.9171595637407724E-2</v>
      </c>
      <c r="D30" s="9">
        <f>Base_de_dados!I30*300</f>
        <v>30000</v>
      </c>
      <c r="E30" s="10">
        <f>Base_de_dados!H30/Base_de_dados!I30</f>
        <v>16.90000057</v>
      </c>
      <c r="F30" s="11">
        <f>(D30-Base_de_dados!H30)/Base_de_dados!H30</f>
        <v>16.751478691222317</v>
      </c>
    </row>
    <row r="31" spans="1:6">
      <c r="A31" s="6" t="str">
        <f>Base_de_dados!A31</f>
        <v>Ad_06</v>
      </c>
      <c r="B31" s="8">
        <f>Base_de_dados!G31/Base_de_dados!F31</f>
        <v>1.4695385648906243E-2</v>
      </c>
      <c r="C31" s="9">
        <f>Base_de_dados!G31/Base_de_dados!H31</f>
        <v>4.1322313327543991E-2</v>
      </c>
      <c r="D31" s="9">
        <f>Base_de_dados!I31*300</f>
        <v>30000</v>
      </c>
      <c r="E31" s="10">
        <f>Base_de_dados!H31/Base_de_dados!I31</f>
        <v>84.700001480000012</v>
      </c>
      <c r="F31" s="11">
        <f>(D31-Base_de_dados!H31)/Base_de_dados!H31</f>
        <v>2.5419125709323422</v>
      </c>
    </row>
    <row r="32" spans="1:6">
      <c r="A32" s="6" t="str">
        <f>Base_de_dados!A32</f>
        <v>Ad_07</v>
      </c>
      <c r="B32" s="8">
        <f>Base_de_dados!G32/Base_de_dados!F32</f>
        <v>1.7858737387266722E-2</v>
      </c>
      <c r="C32" s="9">
        <f>Base_de_dados!G32/Base_de_dados!H32</f>
        <v>3.4904013845868019E-2</v>
      </c>
      <c r="D32" s="9">
        <f>Base_de_dados!I32*300</f>
        <v>30000</v>
      </c>
      <c r="E32" s="10">
        <f>Base_de_dados!H32/Base_de_dados!I32</f>
        <v>57.300000189999999</v>
      </c>
      <c r="F32" s="11">
        <f>(D32-Base_de_dados!H32)/Base_de_dados!H32</f>
        <v>4.2356020768802027</v>
      </c>
    </row>
    <row r="33" spans="1:6">
      <c r="A33" s="6" t="str">
        <f>Base_de_dados!A33</f>
        <v>Ad_07</v>
      </c>
      <c r="B33" s="8">
        <f>Base_de_dados!G33/Base_de_dados!F33</f>
        <v>1.9918051445481449E-2</v>
      </c>
      <c r="C33" s="9">
        <f>Base_de_dados!G33/Base_de_dados!H33</f>
        <v>3.7313432855710787E-2</v>
      </c>
      <c r="D33" s="9">
        <f>Base_de_dados!I33*300</f>
        <v>15000</v>
      </c>
      <c r="E33" s="10">
        <f>Base_de_dados!H33/Base_de_dados!I33</f>
        <v>187.5999999</v>
      </c>
      <c r="F33" s="11">
        <f>(D33-Base_de_dados!H33)/Base_de_dados!H33</f>
        <v>0.59914712238760504</v>
      </c>
    </row>
    <row r="34" spans="1:6">
      <c r="A34" s="6" t="str">
        <f>Base_de_dados!A34</f>
        <v>Ad_08</v>
      </c>
      <c r="B34" s="8">
        <f>Base_de_dados!G34/Base_de_dados!F34</f>
        <v>1.2705404031848213E-2</v>
      </c>
      <c r="C34" s="9">
        <f>Base_de_dados!G34/Base_de_dados!H34</f>
        <v>3.792667468726077E-2</v>
      </c>
      <c r="D34" s="9">
        <f>Base_de_dados!I34*300</f>
        <v>15000</v>
      </c>
      <c r="E34" s="10">
        <f>Base_de_dados!H34/Base_de_dados!I34</f>
        <v>316.4000034</v>
      </c>
      <c r="F34" s="11">
        <f>(D34-Base_de_dados!H34)/Base_de_dados!H34</f>
        <v>-5.1833132818480836E-2</v>
      </c>
    </row>
    <row r="35" spans="1:6">
      <c r="A35" s="6" t="str">
        <f>Base_de_dados!A35</f>
        <v>Ad_08</v>
      </c>
      <c r="B35" s="8">
        <f>Base_de_dados!G35/Base_de_dados!F35</f>
        <v>2.1901007446342532E-2</v>
      </c>
      <c r="C35" s="9">
        <f>Base_de_dados!G35/Base_de_dados!H35</f>
        <v>3.401360477116018E-2</v>
      </c>
      <c r="D35" s="9">
        <f>Base_de_dados!I35*300</f>
        <v>15000</v>
      </c>
      <c r="E35" s="10">
        <f>Base_de_dados!H35/Base_de_dados!I35</f>
        <v>29.40000058</v>
      </c>
      <c r="F35" s="11">
        <f>(D35-Base_de_dados!H35)/Base_de_dados!H35</f>
        <v>9.2040814313480528</v>
      </c>
    </row>
    <row r="36" spans="1:6">
      <c r="A36" s="6" t="str">
        <f>Base_de_dados!A36</f>
        <v>Ad_08</v>
      </c>
      <c r="B36" s="8">
        <f>Base_de_dados!G36/Base_de_dados!F36</f>
        <v>2.2914757103574702E-2</v>
      </c>
      <c r="C36" s="9">
        <f>Base_de_dados!G36/Base_de_dados!H36</f>
        <v>3.2679739181511396E-2</v>
      </c>
      <c r="D36" s="9">
        <f>Base_de_dados!I36*300</f>
        <v>30000</v>
      </c>
      <c r="E36" s="10">
        <f>Base_de_dados!H36/Base_de_dados!I36</f>
        <v>15.29999971</v>
      </c>
      <c r="F36" s="11">
        <f>(D36-Base_de_dados!H36)/Base_de_dados!H36</f>
        <v>18.607843508906839</v>
      </c>
    </row>
    <row r="37" spans="1:6">
      <c r="A37" s="6" t="str">
        <f>Base_de_dados!A37</f>
        <v>Ad_09</v>
      </c>
      <c r="B37" s="8">
        <f>Base_de_dados!G37/Base_de_dados!F37</f>
        <v>8.9670014347202291E-3</v>
      </c>
      <c r="C37" s="9">
        <f>Base_de_dados!G37/Base_de_dados!H37</f>
        <v>3.2679739181511396E-2</v>
      </c>
      <c r="D37" s="9">
        <f>Base_de_dados!I37*300</f>
        <v>30000</v>
      </c>
      <c r="E37" s="10">
        <f>Base_de_dados!H37/Base_de_dados!I37</f>
        <v>15.29999971</v>
      </c>
      <c r="F37" s="11">
        <f>(D37-Base_de_dados!H37)/Base_de_dados!H37</f>
        <v>18.607843508906839</v>
      </c>
    </row>
    <row r="38" spans="1:6">
      <c r="A38" s="6" t="str">
        <f>Base_de_dados!A38</f>
        <v>Ad_09</v>
      </c>
      <c r="B38" s="8">
        <f>Base_de_dados!G38/Base_de_dados!F38</f>
        <v>8.8974756590487324E-3</v>
      </c>
      <c r="C38" s="9">
        <f>Base_de_dados!G38/Base_de_dados!H38</f>
        <v>3.4895313744708056E-2</v>
      </c>
      <c r="D38" s="9">
        <f>Base_de_dados!I38*300</f>
        <v>30000</v>
      </c>
      <c r="E38" s="10">
        <f>Base_de_dados!H38/Base_de_dados!I38</f>
        <v>100.3000009</v>
      </c>
      <c r="F38" s="11">
        <f>(D38-Base_de_dados!H38)/Base_de_dados!H38</f>
        <v>1.9910268924035472</v>
      </c>
    </row>
    <row r="39" spans="1:6">
      <c r="A39" s="6" t="str">
        <f>Base_de_dados!A39</f>
        <v>Ad_09</v>
      </c>
      <c r="B39" s="8">
        <f>Base_de_dados!G39/Base_de_dados!F39</f>
        <v>1.1128421989761852E-2</v>
      </c>
      <c r="C39" s="9">
        <f>Base_de_dados!G39/Base_de_dados!H39</f>
        <v>3.5294117647058823E-2</v>
      </c>
      <c r="D39" s="9">
        <f>Base_de_dados!I39*300</f>
        <v>15000</v>
      </c>
      <c r="E39" s="10">
        <f>Base_de_dados!H39/Base_de_dados!I39</f>
        <v>85</v>
      </c>
      <c r="F39" s="11">
        <f>(D39-Base_de_dados!H39)/Base_de_dados!H39</f>
        <v>2.5294117647058822</v>
      </c>
    </row>
    <row r="40" spans="1:6">
      <c r="A40" s="6" t="str">
        <f>Base_de_dados!A40</f>
        <v>Ad_09</v>
      </c>
      <c r="B40" s="8">
        <f>Base_de_dados!G40/Base_de_dados!F40</f>
        <v>1.1399109115779875E-2</v>
      </c>
      <c r="C40" s="9">
        <f>Base_de_dados!G40/Base_de_dados!H40</f>
        <v>3.2035484955576385E-2</v>
      </c>
      <c r="D40" s="9">
        <f>Base_de_dados!I40*300</f>
        <v>90000</v>
      </c>
      <c r="E40" s="10">
        <f>Base_de_dados!H40/Base_de_dados!I40</f>
        <v>67.633334399999995</v>
      </c>
      <c r="F40" s="11">
        <f>(D40-Base_de_dados!H40)/Base_de_dados!H40</f>
        <v>3.4356825323105769</v>
      </c>
    </row>
    <row r="41" spans="1:6">
      <c r="A41" s="6" t="str">
        <f>Base_de_dados!A41</f>
        <v>Ad_09</v>
      </c>
      <c r="B41" s="8">
        <f>Base_de_dados!G41/Base_de_dados!F41</f>
        <v>9.1692646249770769E-3</v>
      </c>
      <c r="C41" s="9">
        <f>Base_de_dados!G41/Base_de_dados!H41</f>
        <v>3.5971223383882825E-2</v>
      </c>
      <c r="D41" s="9">
        <f>Base_de_dados!I41*300</f>
        <v>30000</v>
      </c>
      <c r="E41" s="10">
        <f>Base_de_dados!H41/Base_de_dados!I41</f>
        <v>13.899999860000001</v>
      </c>
      <c r="F41" s="11">
        <f>(D41-Base_de_dados!H41)/Base_de_dados!H41</f>
        <v>20.582734030329696</v>
      </c>
    </row>
    <row r="42" spans="1:6">
      <c r="A42" s="6" t="str">
        <f>Base_de_dados!A42</f>
        <v>Ad_09</v>
      </c>
      <c r="B42" s="8">
        <f>Base_de_dados!G42/Base_de_dados!F42</f>
        <v>1.2708633398288571E-2</v>
      </c>
      <c r="C42" s="9">
        <f>Base_de_dados!G42/Base_de_dados!H42</f>
        <v>3.3783783350073052E-2</v>
      </c>
      <c r="D42" s="9">
        <f>Base_de_dados!I42*300</f>
        <v>15000</v>
      </c>
      <c r="E42" s="10">
        <f>Base_de_dados!H42/Base_de_dados!I42</f>
        <v>88.800001140000006</v>
      </c>
      <c r="F42" s="11">
        <f>(D42-Base_de_dados!H42)/Base_de_dados!H42</f>
        <v>2.3783783350073047</v>
      </c>
    </row>
    <row r="43" spans="1:6">
      <c r="A43" s="6" t="str">
        <f>Base_de_dados!A43</f>
        <v>Ad_09</v>
      </c>
      <c r="B43" s="8">
        <f>Base_de_dados!G43/Base_de_dados!F43</f>
        <v>1.173984503404555E-2</v>
      </c>
      <c r="C43" s="9">
        <f>Base_de_dados!G43/Base_de_dados!H43</f>
        <v>3.1847132703152294E-2</v>
      </c>
      <c r="D43" s="9">
        <f>Base_de_dados!I43*300</f>
        <v>30000</v>
      </c>
      <c r="E43" s="10">
        <f>Base_de_dados!H43/Base_de_dados!I43</f>
        <v>15.700000519999998</v>
      </c>
      <c r="F43" s="11">
        <f>(D43-Base_de_dados!H43)/Base_de_dados!H43</f>
        <v>18.108279621891377</v>
      </c>
    </row>
    <row r="44" spans="1:6">
      <c r="A44" s="6" t="str">
        <f>Base_de_dados!A44</f>
        <v>Ad_09</v>
      </c>
      <c r="B44" s="8">
        <f>Base_de_dados!G44/Base_de_dados!F44</f>
        <v>9.3931993236896494E-3</v>
      </c>
      <c r="C44" s="9">
        <f>Base_de_dados!G44/Base_de_dados!H44</f>
        <v>3.875969106423896E-2</v>
      </c>
      <c r="D44" s="9">
        <f>Base_de_dados!I44*300</f>
        <v>30000</v>
      </c>
      <c r="E44" s="10">
        <f>Base_de_dados!H44/Base_de_dados!I44</f>
        <v>12.899999620000001</v>
      </c>
      <c r="F44" s="11">
        <f>(D44-Base_de_dados!H44)/Base_de_dados!H44</f>
        <v>22.255814638543374</v>
      </c>
    </row>
    <row r="45" spans="1:6">
      <c r="A45" s="6" t="str">
        <f>Base_de_dados!A45</f>
        <v>Ad_09</v>
      </c>
      <c r="B45" s="8">
        <f>Base_de_dados!G45/Base_de_dados!F45</f>
        <v>8.5455477696120326E-3</v>
      </c>
      <c r="C45" s="9">
        <f>Base_de_dados!G45/Base_de_dados!H45</f>
        <v>3.2679737472766923E-2</v>
      </c>
      <c r="D45" s="9">
        <f>Base_de_dados!I45*300</f>
        <v>15000</v>
      </c>
      <c r="E45" s="10">
        <f>Base_de_dados!H45/Base_de_dados!I45</f>
        <v>91.800003059999995</v>
      </c>
      <c r="F45" s="11">
        <f>(D45-Base_de_dados!H45)/Base_de_dados!H45</f>
        <v>2.2679737472766921</v>
      </c>
    </row>
    <row r="46" spans="1:6">
      <c r="A46" s="6" t="str">
        <f>Base_de_dados!A46</f>
        <v>Ad_09</v>
      </c>
      <c r="B46" s="8">
        <f>Base_de_dados!G46/Base_de_dados!F46</f>
        <v>1.4956625785222853E-2</v>
      </c>
      <c r="C46" s="9">
        <f>Base_de_dados!G46/Base_de_dados!H46</f>
        <v>9.2592588991769698E-2</v>
      </c>
      <c r="D46" s="9">
        <f>Base_de_dados!I46*300</f>
        <v>15000</v>
      </c>
      <c r="E46" s="10">
        <f>Base_de_dados!H46/Base_de_dados!I46</f>
        <v>10.800000419999998</v>
      </c>
      <c r="F46" s="11">
        <f>(D46-Base_de_dados!H46)/Base_de_dados!H46</f>
        <v>26.777776697530911</v>
      </c>
    </row>
    <row r="47" spans="1:6">
      <c r="A47" s="6" t="str">
        <f>Base_de_dados!A47</f>
        <v>Ad_09</v>
      </c>
      <c r="B47" s="8">
        <f>Base_de_dados!G47/Base_de_dados!F47</f>
        <v>1.0074841681059297E-2</v>
      </c>
      <c r="C47" s="9">
        <f>Base_de_dados!G47/Base_de_dados!H47</f>
        <v>2.6099925253617203E-2</v>
      </c>
      <c r="D47" s="9">
        <f>Base_de_dados!I47*300</f>
        <v>30000</v>
      </c>
      <c r="E47" s="10">
        <f>Base_de_dados!H47/Base_de_dados!I47</f>
        <v>134.10000090000003</v>
      </c>
      <c r="F47" s="11">
        <f>(D47-Base_de_dados!H47)/Base_de_dados!H47</f>
        <v>1.2371364503100459</v>
      </c>
    </row>
    <row r="48" spans="1:6">
      <c r="A48" s="6" t="str">
        <f>Base_de_dados!A48</f>
        <v>Ad_09</v>
      </c>
      <c r="B48" s="8">
        <f>Base_de_dados!G48/Base_de_dados!F48</f>
        <v>1.2741694008218393E-2</v>
      </c>
      <c r="C48" s="9">
        <f>Base_de_dados!G48/Base_de_dados!H48</f>
        <v>3.6496348666684504E-2</v>
      </c>
      <c r="D48" s="9">
        <f>Base_de_dados!I48*300</f>
        <v>30000</v>
      </c>
      <c r="E48" s="10">
        <f>Base_de_dados!H48/Base_de_dados!I48</f>
        <v>109.6000051</v>
      </c>
      <c r="F48" s="11">
        <f>(D48-Base_de_dados!H48)/Base_de_dados!H48</f>
        <v>1.7372261500013382</v>
      </c>
    </row>
    <row r="49" spans="1:6">
      <c r="A49" s="6" t="str">
        <f>Base_de_dados!A49</f>
        <v>Ad_09</v>
      </c>
      <c r="B49" s="8">
        <f>Base_de_dados!G49/Base_de_dados!F49</f>
        <v>1.1890606420927468E-2</v>
      </c>
      <c r="C49" s="9">
        <f>Base_de_dados!G49/Base_de_dados!H49</f>
        <v>4.2372883241166413E-2</v>
      </c>
      <c r="D49" s="9">
        <f>Base_de_dados!I49*300</f>
        <v>30000</v>
      </c>
      <c r="E49" s="10">
        <f>Base_de_dados!H49/Base_de_dados!I49</f>
        <v>23.59999895</v>
      </c>
      <c r="F49" s="11">
        <f>(D49-Base_de_dados!H49)/Base_de_dados!H49</f>
        <v>11.711864972349925</v>
      </c>
    </row>
    <row r="50" spans="1:6">
      <c r="A50" s="6" t="str">
        <f>Base_de_dados!A50</f>
        <v>Ad_09</v>
      </c>
      <c r="B50" s="8">
        <f>Base_de_dados!G50/Base_de_dados!F50</f>
        <v>9.6584762787822586E-3</v>
      </c>
      <c r="C50" s="9">
        <f>Base_de_dados!G50/Base_de_dados!H50</f>
        <v>3.4013604780415582E-2</v>
      </c>
      <c r="D50" s="9">
        <f>Base_de_dados!I50*300</f>
        <v>15000</v>
      </c>
      <c r="E50" s="10">
        <f>Base_de_dados!H50/Base_de_dados!I50</f>
        <v>147.00000286</v>
      </c>
      <c r="F50" s="11">
        <f>(D50-Base_de_dados!H50)/Base_de_dados!H50</f>
        <v>1.0408162868249349</v>
      </c>
    </row>
    <row r="51" spans="1:6">
      <c r="A51" s="6" t="str">
        <f>Base_de_dados!A51</f>
        <v>Ad_09</v>
      </c>
      <c r="B51" s="8">
        <f>Base_de_dados!G51/Base_de_dados!F51</f>
        <v>1.7551249648975007E-2</v>
      </c>
      <c r="C51" s="9">
        <f>Base_de_dados!G51/Base_de_dados!H51</f>
        <v>5.3533190389015495E-2</v>
      </c>
      <c r="D51" s="9">
        <f>Base_de_dados!I51*300</f>
        <v>15000</v>
      </c>
      <c r="E51" s="10">
        <f>Base_de_dados!H51/Base_de_dados!I51</f>
        <v>186.80000065999999</v>
      </c>
      <c r="F51" s="11">
        <f>(D51-Base_de_dados!H51)/Base_de_dados!H51</f>
        <v>0.60599571167046473</v>
      </c>
    </row>
    <row r="52" spans="1:6">
      <c r="A52" s="6" t="str">
        <f>Base_de_dados!A52</f>
        <v>Ad_09</v>
      </c>
      <c r="B52" s="8">
        <f>Base_de_dados!G52/Base_de_dados!F52</f>
        <v>1.4813351767726645E-2</v>
      </c>
      <c r="C52" s="9">
        <f>Base_de_dados!G52/Base_de_dados!H52</f>
        <v>3.2467533268679391E-2</v>
      </c>
      <c r="D52" s="9">
        <f>Base_de_dados!I52*300</f>
        <v>15000</v>
      </c>
      <c r="E52" s="10">
        <f>Base_de_dados!H52/Base_de_dados!I52</f>
        <v>92.399997720000016</v>
      </c>
      <c r="F52" s="11">
        <f>(D52-Base_de_dados!H52)/Base_de_dados!H52</f>
        <v>2.2467533268679385</v>
      </c>
    </row>
    <row r="53" spans="1:6">
      <c r="A53" s="6" t="str">
        <f>Base_de_dados!A53</f>
        <v>Ad_09</v>
      </c>
      <c r="B53" s="8">
        <f>Base_de_dados!G53/Base_de_dados!F53</f>
        <v>1.1075668970405813E-2</v>
      </c>
      <c r="C53" s="9">
        <f>Base_de_dados!G53/Base_de_dados!H53</f>
        <v>2.9411764705882353E-2</v>
      </c>
      <c r="D53" s="9">
        <f>Base_de_dados!I53*300</f>
        <v>15000</v>
      </c>
      <c r="E53" s="10">
        <f>Base_de_dados!H53/Base_de_dados!I53</f>
        <v>170</v>
      </c>
      <c r="F53" s="11">
        <f>(D53-Base_de_dados!H53)/Base_de_dados!H53</f>
        <v>0.76470588235294112</v>
      </c>
    </row>
    <row r="54" spans="1:6">
      <c r="A54" s="6" t="str">
        <f>Base_de_dados!A54</f>
        <v>Ad_09</v>
      </c>
      <c r="B54" s="8">
        <f>Base_de_dados!G54/Base_de_dados!F54</f>
        <v>5.6986551173922951E-3</v>
      </c>
      <c r="C54" s="9">
        <f>Base_de_dados!G54/Base_de_dados!H54</f>
        <v>2.7322403729582861E-2</v>
      </c>
      <c r="D54" s="9">
        <f>Base_de_dados!I54*300</f>
        <v>15000</v>
      </c>
      <c r="E54" s="10">
        <f>Base_de_dados!H54/Base_de_dados!I54</f>
        <v>36.600000860000002</v>
      </c>
      <c r="F54" s="11">
        <f>(D54-Base_de_dados!H54)/Base_de_dados!H54</f>
        <v>7.1967211188748585</v>
      </c>
    </row>
    <row r="55" spans="1:6">
      <c r="A55" s="6" t="str">
        <f>Base_de_dados!A55</f>
        <v>Ad_09</v>
      </c>
      <c r="B55" s="8">
        <f>Base_de_dados!G55/Base_de_dados!F55</f>
        <v>3.4580538073172417E-3</v>
      </c>
      <c r="C55" s="9">
        <f>Base_de_dados!G55/Base_de_dados!H55</f>
        <v>3.5971223383882825E-2</v>
      </c>
      <c r="D55" s="9">
        <f>Base_de_dados!I55*300</f>
        <v>15000</v>
      </c>
      <c r="E55" s="10">
        <f>Base_de_dados!H55/Base_de_dados!I55</f>
        <v>27.799999720000002</v>
      </c>
      <c r="F55" s="11">
        <f>(D55-Base_de_dados!H55)/Base_de_dados!H55</f>
        <v>9.7913670151648464</v>
      </c>
    </row>
    <row r="56" spans="1:6">
      <c r="A56" s="6" t="str">
        <f>Base_de_dados!A56</f>
        <v>Ad_09</v>
      </c>
      <c r="B56" s="8">
        <f>Base_de_dados!G56/Base_de_dados!F56</f>
        <v>4.6304871272457859E-3</v>
      </c>
      <c r="C56" s="9">
        <f>Base_de_dados!G56/Base_de_dados!H56</f>
        <v>3.5587189333975013E-2</v>
      </c>
      <c r="D56" s="9">
        <f>Base_de_dados!I56*300</f>
        <v>15000</v>
      </c>
      <c r="E56" s="10">
        <f>Base_de_dados!H56/Base_de_dados!I56</f>
        <v>56.199998860000008</v>
      </c>
      <c r="F56" s="11">
        <f>(D56-Base_de_dados!H56)/Base_de_dados!H56</f>
        <v>4.3380784000962516</v>
      </c>
    </row>
    <row r="57" spans="1:6">
      <c r="A57" s="6" t="str">
        <f>Base_de_dados!A57</f>
        <v>Ad_09</v>
      </c>
      <c r="B57" s="8">
        <f>Base_de_dados!G57/Base_de_dados!F57</f>
        <v>5.991163034524077E-3</v>
      </c>
      <c r="C57" s="9">
        <f>Base_de_dados!G57/Base_de_dados!H57</f>
        <v>3.6199095972645957E-2</v>
      </c>
      <c r="D57" s="9">
        <f>Base_de_dados!I57*300</f>
        <v>15000</v>
      </c>
      <c r="E57" s="10">
        <f>Base_de_dados!H57/Base_de_dados!I57</f>
        <v>220.9999942</v>
      </c>
      <c r="F57" s="11">
        <f>(D57-Base_de_dados!H57)/Base_de_dados!H57</f>
        <v>0.35746609897422338</v>
      </c>
    </row>
    <row r="58" spans="1:6">
      <c r="A58" s="6" t="str">
        <f>Base_de_dados!A58</f>
        <v>Ad_09</v>
      </c>
      <c r="B58" s="8">
        <f>Base_de_dados!G58/Base_de_dados!F58</f>
        <v>9.2902266815310299E-3</v>
      </c>
      <c r="C58" s="9">
        <f>Base_de_dados!G58/Base_de_dados!H58</f>
        <v>3.4578147658729505E-2</v>
      </c>
      <c r="D58" s="9">
        <f>Base_de_dados!I58*300</f>
        <v>15000</v>
      </c>
      <c r="E58" s="10">
        <f>Base_de_dados!H58/Base_de_dados!I58</f>
        <v>144.59999562000002</v>
      </c>
      <c r="F58" s="11">
        <f>(D58-Base_de_dados!H58)/Base_de_dados!H58</f>
        <v>1.0746888595237702</v>
      </c>
    </row>
    <row r="59" spans="1:6">
      <c r="A59" s="6" t="str">
        <f>Base_de_dados!A59</f>
        <v>Ad_09</v>
      </c>
      <c r="B59" s="8">
        <f>Base_de_dados!G59/Base_de_dados!F59</f>
        <v>1.2534469791927802E-2</v>
      </c>
      <c r="C59" s="9">
        <f>Base_de_dados!G59/Base_de_dados!H59</f>
        <v>3.9062500885009788E-2</v>
      </c>
      <c r="D59" s="9">
        <f>Base_de_dados!I59*300</f>
        <v>15000</v>
      </c>
      <c r="E59" s="10">
        <f>Base_de_dados!H59/Base_de_dados!I59</f>
        <v>25.59999942</v>
      </c>
      <c r="F59" s="11">
        <f>(D59-Base_de_dados!H59)/Base_de_dados!H59</f>
        <v>10.718750265502937</v>
      </c>
    </row>
    <row r="60" spans="1:6">
      <c r="A60" s="6" t="str">
        <f>Base_de_dados!A60</f>
        <v>Ad_09</v>
      </c>
      <c r="B60" s="8">
        <f>Base_de_dados!G60/Base_de_dados!F60</f>
        <v>1.3577118030412744E-2</v>
      </c>
      <c r="C60" s="9">
        <f>Base_de_dados!G60/Base_de_dados!H60</f>
        <v>3.3557047355224245E-2</v>
      </c>
      <c r="D60" s="9">
        <f>Base_de_dados!I60*300</f>
        <v>15000</v>
      </c>
      <c r="E60" s="10">
        <f>Base_de_dados!H60/Base_de_dados!I60</f>
        <v>268.199997</v>
      </c>
      <c r="F60" s="11">
        <f>(D60-Base_de_dados!H60)/Base_de_dados!H60</f>
        <v>0.11856824517414143</v>
      </c>
    </row>
    <row r="61" spans="1:6">
      <c r="A61" s="6" t="str">
        <f>Base_de_dados!A61</f>
        <v>Ad_09</v>
      </c>
      <c r="B61" s="8">
        <f>Base_de_dados!G61/Base_de_dados!F61</f>
        <v>5.8051782189713222E-3</v>
      </c>
      <c r="C61" s="9">
        <f>Base_de_dados!G61/Base_de_dados!H61</f>
        <v>5.6179776164625696E-2</v>
      </c>
      <c r="D61" s="9">
        <f>Base_de_dados!I61*300</f>
        <v>30000</v>
      </c>
      <c r="E61" s="10">
        <f>Base_de_dados!H61/Base_de_dados!I61</f>
        <v>8.8999998599999994</v>
      </c>
      <c r="F61" s="11">
        <f>(D61-Base_de_dados!H61)/Base_de_dados!H61</f>
        <v>32.707865698775421</v>
      </c>
    </row>
    <row r="62" spans="1:6">
      <c r="A62" s="6" t="str">
        <f>Base_de_dados!A62</f>
        <v>Ad_09</v>
      </c>
      <c r="B62" s="8">
        <f>Base_de_dados!G62/Base_de_dados!F62</f>
        <v>7.7196232823838196E-3</v>
      </c>
      <c r="C62" s="9">
        <f>Base_de_dados!G62/Base_de_dados!H62</f>
        <v>3.9100684644190468E-2</v>
      </c>
      <c r="D62" s="9">
        <f>Base_de_dados!I62*300</f>
        <v>45000</v>
      </c>
      <c r="E62" s="10">
        <f>Base_de_dados!H62/Base_de_dados!I62</f>
        <v>68.199999333333324</v>
      </c>
      <c r="F62" s="11">
        <f>(D62-Base_de_dados!H62)/Base_de_dados!H62</f>
        <v>3.3988270224714281</v>
      </c>
    </row>
    <row r="63" spans="1:6">
      <c r="A63" s="6" t="str">
        <f>Base_de_dados!A63</f>
        <v>Ad_09</v>
      </c>
      <c r="B63" s="8">
        <f>Base_de_dados!G63/Base_de_dados!F63</f>
        <v>5.4967202902268314E-3</v>
      </c>
      <c r="C63" s="9">
        <f>Base_de_dados!G63/Base_de_dados!H63</f>
        <v>3.386004646138329E-2</v>
      </c>
      <c r="D63" s="9">
        <f>Base_de_dados!I63*300</f>
        <v>15000</v>
      </c>
      <c r="E63" s="10">
        <f>Base_de_dados!H63/Base_de_dados!I63</f>
        <v>88.599996559999994</v>
      </c>
      <c r="F63" s="11">
        <f>(D63-Base_de_dados!H63)/Base_de_dados!H63</f>
        <v>2.3860046461383293</v>
      </c>
    </row>
    <row r="64" spans="1:6">
      <c r="A64" s="6" t="str">
        <f>Base_de_dados!A64</f>
        <v>Ad_09</v>
      </c>
      <c r="B64" s="8">
        <f>Base_de_dados!G64/Base_de_dados!F64</f>
        <v>9.7995982164731238E-3</v>
      </c>
      <c r="C64" s="9">
        <f>Base_de_dados!G64/Base_de_dados!H64</f>
        <v>5.2219322185030934E-2</v>
      </c>
      <c r="D64" s="9">
        <f>Base_de_dados!I64*300</f>
        <v>15000</v>
      </c>
      <c r="E64" s="10">
        <f>Base_de_dados!H64/Base_de_dados!I64</f>
        <v>76.599998480000011</v>
      </c>
      <c r="F64" s="11">
        <f>(D64-Base_de_dados!H64)/Base_de_dados!H64</f>
        <v>2.9164491638773202</v>
      </c>
    </row>
    <row r="65" spans="1:6">
      <c r="A65" s="6" t="str">
        <f>Base_de_dados!A65</f>
        <v>Ad_09</v>
      </c>
      <c r="B65" s="8">
        <f>Base_de_dados!G65/Base_de_dados!F65</f>
        <v>6.2158130283441072E-3</v>
      </c>
      <c r="C65" s="9">
        <f>Base_de_dados!G65/Base_de_dados!H65</f>
        <v>4.5045044476909352E-2</v>
      </c>
      <c r="D65" s="9">
        <f>Base_de_dados!I65*300</f>
        <v>15000</v>
      </c>
      <c r="E65" s="10">
        <f>Base_de_dados!H65/Base_de_dados!I65</f>
        <v>22.200000279999998</v>
      </c>
      <c r="F65" s="11">
        <f>(D65-Base_de_dados!H65)/Base_de_dados!H65</f>
        <v>12.513513343072805</v>
      </c>
    </row>
    <row r="66" spans="1:6">
      <c r="A66" s="6" t="str">
        <f>Base_de_dados!A66</f>
        <v>Ad_09</v>
      </c>
      <c r="B66" s="8">
        <f>Base_de_dados!G66/Base_de_dados!F66</f>
        <v>1.2783636944710771E-2</v>
      </c>
      <c r="C66" s="9">
        <f>Base_de_dados!G66/Base_de_dados!H66</f>
        <v>3.7383178233906904E-2</v>
      </c>
      <c r="D66" s="9">
        <f>Base_de_dados!I66*300</f>
        <v>15000</v>
      </c>
      <c r="E66" s="10">
        <f>Base_de_dados!H66/Base_de_dados!I66</f>
        <v>106.9999981</v>
      </c>
      <c r="F66" s="11">
        <f>(D66-Base_de_dados!H66)/Base_de_dados!H66</f>
        <v>1.8037383675430176</v>
      </c>
    </row>
    <row r="67" spans="1:6">
      <c r="A67" s="6" t="str">
        <f>Base_de_dados!A67</f>
        <v>Ad_09</v>
      </c>
      <c r="B67" s="8">
        <f>Base_de_dados!G67/Base_de_dados!F67</f>
        <v>1.1358473421172195E-2</v>
      </c>
      <c r="C67" s="9">
        <f>Base_de_dados!G67/Base_de_dados!H67</f>
        <v>3.7593983746961428E-2</v>
      </c>
      <c r="D67" s="9">
        <f>Base_de_dados!I67*300</f>
        <v>30000</v>
      </c>
      <c r="E67" s="10">
        <f>Base_de_dados!H67/Base_de_dados!I67</f>
        <v>13.300000430000001</v>
      </c>
      <c r="F67" s="11">
        <f>(D67-Base_de_dados!H67)/Base_de_dados!H67</f>
        <v>21.556390248176857</v>
      </c>
    </row>
    <row r="68" spans="1:6">
      <c r="A68" s="6" t="str">
        <f>Base_de_dados!A68</f>
        <v>Ad_09</v>
      </c>
      <c r="B68" s="8">
        <f>Base_de_dados!G68/Base_de_dados!F68</f>
        <v>1.180776951233912E-2</v>
      </c>
      <c r="C68" s="9">
        <f>Base_de_dados!G68/Base_de_dados!H68</f>
        <v>3.2362460447628347E-2</v>
      </c>
      <c r="D68" s="9">
        <f>Base_de_dados!I68*300</f>
        <v>15000</v>
      </c>
      <c r="E68" s="10">
        <f>Base_de_dados!H68/Base_de_dados!I68</f>
        <v>61.799998279999997</v>
      </c>
      <c r="F68" s="11">
        <f>(D68-Base_de_dados!H68)/Base_de_dados!H68</f>
        <v>3.8543690671442525</v>
      </c>
    </row>
    <row r="69" spans="1:6">
      <c r="A69" s="6" t="str">
        <f>Base_de_dados!A69</f>
        <v>Ad_09</v>
      </c>
      <c r="B69" s="8">
        <f>Base_de_dados!G69/Base_de_dados!F69</f>
        <v>8.58663918942126E-3</v>
      </c>
      <c r="C69" s="9">
        <f>Base_de_dados!G69/Base_de_dados!H69</f>
        <v>3.5211268671890533E-2</v>
      </c>
      <c r="D69" s="9">
        <f>Base_de_dados!I69*300</f>
        <v>30000</v>
      </c>
      <c r="E69" s="10">
        <f>Base_de_dados!H69/Base_de_dados!I69</f>
        <v>14.199999569999999</v>
      </c>
      <c r="F69" s="11">
        <f>(D69-Base_de_dados!H69)/Base_de_dados!H69</f>
        <v>20.126761203134318</v>
      </c>
    </row>
    <row r="70" spans="1:6">
      <c r="A70" s="6" t="str">
        <f>Base_de_dados!A70</f>
        <v>Ad_09</v>
      </c>
      <c r="B70" s="8">
        <f>Base_de_dados!G70/Base_de_dados!F70</f>
        <v>1.0058338362502514E-2</v>
      </c>
      <c r="C70" s="9">
        <f>Base_de_dados!G70/Base_de_dados!H70</f>
        <v>4.0650405876131938E-2</v>
      </c>
      <c r="D70" s="9">
        <f>Base_de_dados!I70*300</f>
        <v>30000</v>
      </c>
      <c r="E70" s="10">
        <f>Base_de_dados!H70/Base_de_dados!I70</f>
        <v>12.30000019</v>
      </c>
      <c r="F70" s="11">
        <f>(D70-Base_de_dados!H70)/Base_de_dados!H70</f>
        <v>23.390243525679164</v>
      </c>
    </row>
    <row r="71" spans="1:6">
      <c r="A71" s="6" t="str">
        <f>Base_de_dados!A71</f>
        <v>Ad_09</v>
      </c>
      <c r="B71" s="8">
        <f>Base_de_dados!G71/Base_de_dados!F71</f>
        <v>1.1012407312238456E-2</v>
      </c>
      <c r="C71" s="9">
        <f>Base_de_dados!G71/Base_de_dados!H71</f>
        <v>3.6674816330007597E-2</v>
      </c>
      <c r="D71" s="9">
        <f>Base_de_dados!I71*300</f>
        <v>15000</v>
      </c>
      <c r="E71" s="10">
        <f>Base_de_dados!H71/Base_de_dados!I71</f>
        <v>81.800000659999995</v>
      </c>
      <c r="F71" s="11">
        <f>(D71-Base_de_dados!H71)/Base_de_dados!H71</f>
        <v>2.6674816330007594</v>
      </c>
    </row>
    <row r="72" spans="1:6">
      <c r="A72" s="6" t="str">
        <f>Base_de_dados!A72</f>
        <v>Ad_09</v>
      </c>
      <c r="B72" s="8">
        <f>Base_de_dados!G72/Base_de_dados!F72</f>
        <v>8.0971659919028341E-3</v>
      </c>
      <c r="C72" s="9">
        <f>Base_de_dados!G72/Base_de_dados!H72</f>
        <v>3.6496350231765146E-2</v>
      </c>
      <c r="D72" s="9">
        <f>Base_de_dados!I72*300</f>
        <v>45000</v>
      </c>
      <c r="E72" s="10">
        <f>Base_de_dados!H72/Base_de_dados!I72</f>
        <v>9.1333333666666672</v>
      </c>
      <c r="F72" s="11">
        <f>(D72-Base_de_dados!H72)/Base_de_dados!H72</f>
        <v>31.846715208588627</v>
      </c>
    </row>
    <row r="73" spans="1:6">
      <c r="A73" s="6" t="str">
        <f>Base_de_dados!A73</f>
        <v>Ad_09</v>
      </c>
      <c r="B73" s="8">
        <f>Base_de_dados!G73/Base_de_dados!F73</f>
        <v>5.5090348171000442E-3</v>
      </c>
      <c r="C73" s="9">
        <f>Base_de_dados!G73/Base_de_dados!H73</f>
        <v>3.6231884189245958E-2</v>
      </c>
      <c r="D73" s="9">
        <f>Base_de_dados!I73*300</f>
        <v>30000</v>
      </c>
      <c r="E73" s="10">
        <f>Base_de_dados!H73/Base_de_dados!I73</f>
        <v>13.799999949999998</v>
      </c>
      <c r="F73" s="11">
        <f>(D73-Base_de_dados!H73)/Base_de_dados!H73</f>
        <v>20.739130513547575</v>
      </c>
    </row>
    <row r="74" spans="1:6">
      <c r="A74" s="6" t="str">
        <f>Base_de_dados!A74</f>
        <v>Ad_09</v>
      </c>
      <c r="B74" s="8">
        <f>Base_de_dados!G74/Base_de_dados!F74</f>
        <v>9.5506422806933763E-3</v>
      </c>
      <c r="C74" s="9">
        <f>Base_de_dados!G74/Base_de_dados!H74</f>
        <v>3.3840947735490914E-2</v>
      </c>
      <c r="D74" s="9">
        <f>Base_de_dados!I74*300</f>
        <v>30000</v>
      </c>
      <c r="E74" s="10">
        <f>Base_de_dados!H74/Base_de_dados!I74</f>
        <v>59.099999669999995</v>
      </c>
      <c r="F74" s="11">
        <f>(D74-Base_de_dados!H74)/Base_de_dados!H74</f>
        <v>4.076142160323637</v>
      </c>
    </row>
    <row r="75" spans="1:6">
      <c r="A75" s="6" t="str">
        <f>Base_de_dados!A75</f>
        <v>Ad_09</v>
      </c>
      <c r="B75" s="8">
        <f>Base_de_dados!G75/Base_de_dados!F75</f>
        <v>1.4290964027601976E-2</v>
      </c>
      <c r="C75" s="9">
        <f>Base_de_dados!G75/Base_de_dados!H75</f>
        <v>3.6687631173388885E-2</v>
      </c>
      <c r="D75" s="9">
        <f>Base_de_dados!I75*300</f>
        <v>15000</v>
      </c>
      <c r="E75" s="10">
        <f>Base_de_dados!H75/Base_de_dados!I75</f>
        <v>190.79999924000001</v>
      </c>
      <c r="F75" s="11">
        <f>(D75-Base_de_dados!H75)/Base_de_dados!H75</f>
        <v>0.57232705028809516</v>
      </c>
    </row>
    <row r="76" spans="1:6">
      <c r="A76" s="6" t="str">
        <f>Base_de_dados!A76</f>
        <v>Ad_09</v>
      </c>
      <c r="B76" s="8">
        <f>Base_de_dados!G76/Base_de_dados!F76</f>
        <v>1.4541712342557999E-2</v>
      </c>
      <c r="C76" s="9">
        <f>Base_de_dados!G76/Base_de_dados!H76</f>
        <v>3.7572253531691691E-2</v>
      </c>
      <c r="D76" s="9">
        <f>Base_de_dados!I76*300</f>
        <v>30000</v>
      </c>
      <c r="E76" s="10">
        <f>Base_de_dados!H76/Base_de_dados!I76</f>
        <v>173.00000369999998</v>
      </c>
      <c r="F76" s="11">
        <f>(D76-Base_de_dados!H76)/Base_de_dados!H76</f>
        <v>0.73410400915500118</v>
      </c>
    </row>
    <row r="77" spans="1:6">
      <c r="A77" s="6" t="str">
        <f>Base_de_dados!A77</f>
        <v>Ad_09</v>
      </c>
      <c r="B77" s="8">
        <f>Base_de_dados!G77/Base_de_dados!F77</f>
        <v>1.5458339774308239E-2</v>
      </c>
      <c r="C77" s="9">
        <f>Base_de_dados!G77/Base_de_dados!H77</f>
        <v>7.6335881184080329E-2</v>
      </c>
      <c r="D77" s="9">
        <f>Base_de_dados!I77*300</f>
        <v>15000</v>
      </c>
      <c r="E77" s="10">
        <f>Base_de_dados!H77/Base_de_dados!I77</f>
        <v>26.199998860000001</v>
      </c>
      <c r="F77" s="11">
        <f>(D77-Base_de_dados!H77)/Base_de_dados!H77</f>
        <v>10.450382177612049</v>
      </c>
    </row>
    <row r="78" spans="1:6">
      <c r="A78" s="6" t="str">
        <f>Base_de_dados!A78</f>
        <v>Ad_09</v>
      </c>
      <c r="B78" s="8">
        <f>Base_de_dados!G78/Base_de_dados!F78</f>
        <v>1.0624734381640459E-2</v>
      </c>
      <c r="C78" s="9">
        <f>Base_de_dados!G78/Base_de_dados!H78</f>
        <v>4.098360558317659E-2</v>
      </c>
      <c r="D78" s="9">
        <f>Base_de_dados!I78*300</f>
        <v>15000</v>
      </c>
      <c r="E78" s="10">
        <f>Base_de_dados!H78/Base_de_dados!I78</f>
        <v>24.40000058</v>
      </c>
      <c r="F78" s="11">
        <f>(D78-Base_de_dados!H78)/Base_de_dados!H78</f>
        <v>11.295081674952975</v>
      </c>
    </row>
    <row r="79" spans="1:6">
      <c r="A79" s="6" t="str">
        <f>Base_de_dados!A79</f>
        <v>Ad_09</v>
      </c>
      <c r="B79" s="8">
        <f>Base_de_dados!G79/Base_de_dados!F79</f>
        <v>9.9206349206349201E-3</v>
      </c>
      <c r="C79" s="9">
        <f>Base_de_dados!G79/Base_de_dados!H79</f>
        <v>3.472222084780098E-2</v>
      </c>
      <c r="D79" s="9">
        <f>Base_de_dados!I79*300</f>
        <v>15000</v>
      </c>
      <c r="E79" s="10">
        <f>Base_de_dados!H79/Base_de_dados!I79</f>
        <v>28.800001139999999</v>
      </c>
      <c r="F79" s="11">
        <f>(D79-Base_de_dados!H79)/Base_de_dados!H79</f>
        <v>9.4166662543402939</v>
      </c>
    </row>
    <row r="80" spans="1:6">
      <c r="A80" s="6" t="str">
        <f>Base_de_dados!A80</f>
        <v>Ad_09</v>
      </c>
      <c r="B80" s="8">
        <f>Base_de_dados!G80/Base_de_dados!F80</f>
        <v>1.21153380179307E-2</v>
      </c>
      <c r="C80" s="9">
        <f>Base_de_dados!G80/Base_de_dados!H80</f>
        <v>4.3103447309750312E-2</v>
      </c>
      <c r="D80" s="9">
        <f>Base_de_dados!I80*300</f>
        <v>30000</v>
      </c>
      <c r="E80" s="10">
        <f>Base_de_dados!H80/Base_de_dados!I80</f>
        <v>23.200000520000003</v>
      </c>
      <c r="F80" s="11">
        <f>(D80-Base_de_dados!H80)/Base_de_dados!H80</f>
        <v>11.931034192925095</v>
      </c>
    </row>
    <row r="81" spans="1:6">
      <c r="A81" s="6" t="str">
        <f>Base_de_dados!A81</f>
        <v>Ad_09</v>
      </c>
      <c r="B81" s="8">
        <f>Base_de_dados!G81/Base_de_dados!F81</f>
        <v>8.7657784011220194E-3</v>
      </c>
      <c r="C81" s="9">
        <f>Base_de_dados!G81/Base_de_dados!H81</f>
        <v>3.7878786386593269E-2</v>
      </c>
      <c r="D81" s="9">
        <f>Base_de_dados!I81*300</f>
        <v>15000</v>
      </c>
      <c r="E81" s="10">
        <f>Base_de_dados!H81/Base_de_dados!I81</f>
        <v>26.400001039999996</v>
      </c>
      <c r="F81" s="11">
        <f>(D81-Base_de_dados!H81)/Base_de_dados!H81</f>
        <v>10.36363591597798</v>
      </c>
    </row>
    <row r="82" spans="1:6">
      <c r="A82" s="6" t="str">
        <f>Base_de_dados!A82</f>
        <v>Ad_09</v>
      </c>
      <c r="B82" s="8">
        <f>Base_de_dados!G82/Base_de_dados!F82</f>
        <v>6.6010086341192938E-3</v>
      </c>
      <c r="C82" s="9">
        <f>Base_de_dados!G82/Base_de_dados!H82</f>
        <v>4.0518638856126658E-2</v>
      </c>
      <c r="D82" s="9">
        <f>Base_de_dados!I82*300</f>
        <v>30000</v>
      </c>
      <c r="E82" s="10">
        <f>Base_de_dados!H82/Base_de_dados!I82</f>
        <v>61.699999570000003</v>
      </c>
      <c r="F82" s="11">
        <f>(D82-Base_de_dados!H82)/Base_de_dados!H82</f>
        <v>3.8622366627351989</v>
      </c>
    </row>
    <row r="83" spans="1:6">
      <c r="A83" s="6" t="str">
        <f>Base_de_dados!A83</f>
        <v>Ad_09</v>
      </c>
      <c r="B83" s="8">
        <f>Base_de_dados!G83/Base_de_dados!F83</f>
        <v>7.9154628566905447E-3</v>
      </c>
      <c r="C83" s="9">
        <f>Base_de_dados!G83/Base_de_dados!H83</f>
        <v>4.0485829492369979E-2</v>
      </c>
      <c r="D83" s="9">
        <f>Base_de_dados!I83*300</f>
        <v>45000</v>
      </c>
      <c r="E83" s="10">
        <f>Base_de_dados!H83/Base_de_dados!I83</f>
        <v>32.933333713333333</v>
      </c>
      <c r="F83" s="11">
        <f>(D83-Base_de_dados!H83)/Base_de_dados!H83</f>
        <v>8.1093116357832464</v>
      </c>
    </row>
    <row r="84" spans="1:6">
      <c r="A84" s="6" t="str">
        <f>Base_de_dados!A84</f>
        <v>Ad_09</v>
      </c>
      <c r="B84" s="8">
        <f>Base_de_dados!G84/Base_de_dados!F84</f>
        <v>1.0453690152623877E-2</v>
      </c>
      <c r="C84" s="9">
        <f>Base_de_dados!G84/Base_de_dados!H84</f>
        <v>5.8139533937263399E-2</v>
      </c>
      <c r="D84" s="9">
        <f>Base_de_dados!I84*300</f>
        <v>15000</v>
      </c>
      <c r="E84" s="10">
        <f>Base_de_dados!H84/Base_de_dados!I84</f>
        <v>17.200000280000001</v>
      </c>
      <c r="F84" s="11">
        <f>(D84-Base_de_dados!H84)/Base_de_dados!H84</f>
        <v>16.44186018117902</v>
      </c>
    </row>
    <row r="85" spans="1:6">
      <c r="A85" s="6" t="str">
        <f>Base_de_dados!A85</f>
        <v>Ad_09</v>
      </c>
      <c r="B85" s="8">
        <f>Base_de_dados!G85/Base_de_dados!F85</f>
        <v>7.7220077220077222E-3</v>
      </c>
      <c r="C85" s="9">
        <f>Base_de_dados!G85/Base_de_dados!H85</f>
        <v>3.7037036378600834E-2</v>
      </c>
      <c r="D85" s="9">
        <f>Base_de_dados!I85*300</f>
        <v>15000</v>
      </c>
      <c r="E85" s="10">
        <f>Base_de_dados!H85/Base_de_dados!I85</f>
        <v>27.000000480000004</v>
      </c>
      <c r="F85" s="11">
        <f>(D85-Base_de_dados!H85)/Base_de_dados!H85</f>
        <v>10.111110913580248</v>
      </c>
    </row>
    <row r="86" spans="1:6">
      <c r="A86" s="6" t="str">
        <f>Base_de_dados!A86</f>
        <v>Ad_09</v>
      </c>
      <c r="B86" s="8">
        <f>Base_de_dados!G86/Base_de_dados!F86</f>
        <v>9.0628965017219495E-3</v>
      </c>
      <c r="C86" s="9">
        <f>Base_de_dados!G86/Base_de_dados!H86</f>
        <v>4.0650405876131938E-2</v>
      </c>
      <c r="D86" s="9">
        <f>Base_de_dados!I86*300</f>
        <v>15000</v>
      </c>
      <c r="E86" s="10">
        <f>Base_de_dados!H86/Base_de_dados!I86</f>
        <v>24.600000380000001</v>
      </c>
      <c r="F86" s="11">
        <f>(D86-Base_de_dados!H86)/Base_de_dados!H86</f>
        <v>11.195121762839582</v>
      </c>
    </row>
    <row r="87" spans="1:6">
      <c r="A87" s="6" t="str">
        <f>Base_de_dados!A87</f>
        <v>Ad_09</v>
      </c>
      <c r="B87" s="8">
        <f>Base_de_dados!G87/Base_de_dados!F87</f>
        <v>9.9750623441396506E-3</v>
      </c>
      <c r="C87" s="9">
        <f>Base_de_dados!G87/Base_de_dados!H87</f>
        <v>4.2918456344747599E-2</v>
      </c>
      <c r="D87" s="9">
        <f>Base_de_dados!I87*300</f>
        <v>75000</v>
      </c>
      <c r="E87" s="10">
        <f>Base_de_dados!H87/Base_de_dados!I87</f>
        <v>18.639999388</v>
      </c>
      <c r="F87" s="11">
        <f>(D87-Base_de_dados!H87)/Base_de_dados!H87</f>
        <v>15.094421129280351</v>
      </c>
    </row>
    <row r="88" spans="1:6">
      <c r="A88" s="6" t="str">
        <f>Base_de_dados!A88</f>
        <v>Ad_09</v>
      </c>
      <c r="B88" s="8">
        <f>Base_de_dados!G88/Base_de_dados!F88</f>
        <v>1.3451708366962604E-2</v>
      </c>
      <c r="C88" s="9">
        <f>Base_de_dados!G88/Base_de_dados!H88</f>
        <v>3.2467533268679391E-2</v>
      </c>
      <c r="D88" s="9">
        <f>Base_de_dados!I88*300</f>
        <v>15000</v>
      </c>
      <c r="E88" s="10">
        <f>Base_de_dados!H88/Base_de_dados!I88</f>
        <v>30.799999240000002</v>
      </c>
      <c r="F88" s="11">
        <f>(D88-Base_de_dados!H88)/Base_de_dados!H88</f>
        <v>8.7402599806038168</v>
      </c>
    </row>
    <row r="89" spans="1:6">
      <c r="A89" s="6" t="str">
        <f>Base_de_dados!A89</f>
        <v>Ad_09</v>
      </c>
      <c r="B89" s="8">
        <f>Base_de_dados!G89/Base_de_dados!F89</f>
        <v>1.736714136853074E-2</v>
      </c>
      <c r="C89" s="9">
        <f>Base_de_dados!G89/Base_de_dados!H89</f>
        <v>3.1446540227839104E-2</v>
      </c>
      <c r="D89" s="9">
        <f>Base_de_dados!I89*300</f>
        <v>60000</v>
      </c>
      <c r="E89" s="10">
        <f>Base_de_dados!H89/Base_de_dados!I89</f>
        <v>7.9500001650000005</v>
      </c>
      <c r="F89" s="11">
        <f>(D89-Base_de_dados!H89)/Base_de_dados!H89</f>
        <v>36.735848273406923</v>
      </c>
    </row>
    <row r="90" spans="1:6">
      <c r="A90" s="6" t="str">
        <f>Base_de_dados!A90</f>
        <v>Ad_09</v>
      </c>
      <c r="B90" s="8">
        <f>Base_de_dados!G90/Base_de_dados!F90</f>
        <v>1.8188432157148052E-2</v>
      </c>
      <c r="C90" s="9">
        <f>Base_de_dados!G90/Base_de_dados!H90</f>
        <v>3.5971223383882825E-2</v>
      </c>
      <c r="D90" s="9">
        <f>Base_de_dados!I90*300</f>
        <v>15000</v>
      </c>
      <c r="E90" s="10">
        <f>Base_de_dados!H90/Base_de_dados!I90</f>
        <v>27.799999720000002</v>
      </c>
      <c r="F90" s="11">
        <f>(D90-Base_de_dados!H90)/Base_de_dados!H90</f>
        <v>9.7913670151648464</v>
      </c>
    </row>
    <row r="91" spans="1:6">
      <c r="A91" s="6" t="str">
        <f>Base_de_dados!A91</f>
        <v>Ad_09</v>
      </c>
      <c r="B91" s="8">
        <f>Base_de_dados!G91/Base_de_dados!F91</f>
        <v>1.6761649346295676E-2</v>
      </c>
      <c r="C91" s="9">
        <f>Base_de_dados!G91/Base_de_dados!H91</f>
        <v>5.1546390211499669E-2</v>
      </c>
      <c r="D91" s="9">
        <f>Base_de_dados!I91*300</f>
        <v>15000</v>
      </c>
      <c r="E91" s="10">
        <f>Base_de_dados!H91/Base_de_dados!I91</f>
        <v>19.40000058</v>
      </c>
      <c r="F91" s="11">
        <f>(D91-Base_de_dados!H91)/Base_de_dados!H91</f>
        <v>14.463917063449902</v>
      </c>
    </row>
    <row r="92" spans="1:6">
      <c r="A92" s="6" t="str">
        <f>Base_de_dados!A92</f>
        <v>Ad_09</v>
      </c>
      <c r="B92" s="8">
        <f>Base_de_dados!G92/Base_de_dados!F92</f>
        <v>2.1616947686986597E-2</v>
      </c>
      <c r="C92" s="9">
        <f>Base_de_dados!G92/Base_de_dados!H92</f>
        <v>4.7619049773242737E-2</v>
      </c>
      <c r="D92" s="9">
        <f>Base_de_dados!I92*300</f>
        <v>30000</v>
      </c>
      <c r="E92" s="10">
        <f>Base_de_dados!H92/Base_de_dados!I92</f>
        <v>20.999999049999996</v>
      </c>
      <c r="F92" s="11">
        <f>(D92-Base_de_dados!H92)/Base_de_dados!H92</f>
        <v>13.285714931972819</v>
      </c>
    </row>
    <row r="93" spans="1:6">
      <c r="A93" s="6" t="str">
        <f>Base_de_dados!A93</f>
        <v>Ad_09</v>
      </c>
      <c r="B93" s="8">
        <f>Base_de_dados!G93/Base_de_dados!F93</f>
        <v>1.8089725036179449E-2</v>
      </c>
      <c r="C93" s="9">
        <f>Base_de_dados!G93/Base_de_dados!H93</f>
        <v>3.205128322238663E-2</v>
      </c>
      <c r="D93" s="9">
        <f>Base_de_dados!I93*300</f>
        <v>30000</v>
      </c>
      <c r="E93" s="10">
        <f>Base_de_dados!H93/Base_de_dados!I93</f>
        <v>15.59999943</v>
      </c>
      <c r="F93" s="11">
        <f>(D93-Base_de_dados!H93)/Base_de_dados!H93</f>
        <v>18.230769933431979</v>
      </c>
    </row>
    <row r="94" spans="1:6">
      <c r="A94" s="6" t="str">
        <f>Base_de_dados!A94</f>
        <v>Ad_10</v>
      </c>
      <c r="B94" s="8">
        <f>Base_de_dados!G94/Base_de_dados!F94</f>
        <v>1.500487658489009E-2</v>
      </c>
      <c r="C94" s="9">
        <f>Base_de_dados!G94/Base_de_dados!H94</f>
        <v>3.5523978717161613E-2</v>
      </c>
      <c r="D94" s="9">
        <f>Base_de_dados!I94*300</f>
        <v>30000</v>
      </c>
      <c r="E94" s="10">
        <f>Base_de_dados!H94/Base_de_dados!I94</f>
        <v>56.29999995</v>
      </c>
      <c r="F94" s="11">
        <f>(D94-Base_de_dados!H94)/Base_de_dados!H94</f>
        <v>4.3285968075742423</v>
      </c>
    </row>
    <row r="95" spans="1:6">
      <c r="A95" s="6" t="str">
        <f>Base_de_dados!A95</f>
        <v>Ad_10</v>
      </c>
      <c r="B95" s="8">
        <f>Base_de_dados!G95/Base_de_dados!F95</f>
        <v>1.0981770261366132E-2</v>
      </c>
      <c r="C95" s="9">
        <f>Base_de_dados!G95/Base_de_dados!H95</f>
        <v>3.9062499664306645E-2</v>
      </c>
      <c r="D95" s="9">
        <f>Base_de_dados!I95*300</f>
        <v>15000</v>
      </c>
      <c r="E95" s="10">
        <f>Base_de_dados!H95/Base_de_dados!I95</f>
        <v>76.800000659999995</v>
      </c>
      <c r="F95" s="11">
        <f>(D95-Base_de_dados!H95)/Base_de_dados!H95</f>
        <v>2.9062499664306642</v>
      </c>
    </row>
    <row r="96" spans="1:6">
      <c r="A96" s="6" t="str">
        <f>Base_de_dados!A96</f>
        <v>Ad_10</v>
      </c>
      <c r="B96" s="8">
        <f>Base_de_dados!G96/Base_de_dados!F96</f>
        <v>9.3040565686639369E-3</v>
      </c>
      <c r="C96" s="9">
        <f>Base_de_dados!G96/Base_de_dados!H96</f>
        <v>4.8076924833579941E-2</v>
      </c>
      <c r="D96" s="9">
        <f>Base_de_dados!I96*300</f>
        <v>60000</v>
      </c>
      <c r="E96" s="10">
        <f>Base_de_dados!H96/Base_de_dados!I96</f>
        <v>5.1999998100000004</v>
      </c>
      <c r="F96" s="11">
        <f>(D96-Base_de_dados!H96)/Base_de_dados!H96</f>
        <v>56.692309800295931</v>
      </c>
    </row>
    <row r="97" spans="1:6">
      <c r="A97" s="6" t="str">
        <f>Base_de_dados!A97</f>
        <v>Ad_10</v>
      </c>
      <c r="B97" s="8">
        <f>Base_de_dados!G97/Base_de_dados!F97</f>
        <v>2.1385799828913601E-2</v>
      </c>
      <c r="C97" s="9">
        <f>Base_de_dados!G97/Base_de_dados!H97</f>
        <v>0.2083333376736112</v>
      </c>
      <c r="D97" s="9">
        <f>Base_de_dados!I97*300</f>
        <v>15000</v>
      </c>
      <c r="E97" s="10">
        <f>Base_de_dados!H97/Base_de_dados!I97</f>
        <v>4.7999998999999995</v>
      </c>
      <c r="F97" s="11">
        <f>(D97-Base_de_dados!H97)/Base_de_dados!H97</f>
        <v>61.500001302083362</v>
      </c>
    </row>
    <row r="98" spans="1:6">
      <c r="A98" s="6" t="str">
        <f>Base_de_dados!A98</f>
        <v>Ad_10</v>
      </c>
      <c r="B98" s="8">
        <f>Base_de_dados!G98/Base_de_dados!F98</f>
        <v>1.2850167052171678E-2</v>
      </c>
      <c r="C98" s="9">
        <f>Base_de_dados!G98/Base_de_dados!H98</f>
        <v>4.5871558244255574E-2</v>
      </c>
      <c r="D98" s="9">
        <f>Base_de_dados!I98*300</f>
        <v>15000</v>
      </c>
      <c r="E98" s="10">
        <f>Base_de_dados!H98/Base_de_dados!I98</f>
        <v>21.800000660000002</v>
      </c>
      <c r="F98" s="11">
        <f>(D98-Base_de_dados!H98)/Base_de_dados!H98</f>
        <v>12.761467473276673</v>
      </c>
    </row>
    <row r="99" spans="1:6">
      <c r="A99" s="6" t="str">
        <f>Base_de_dados!A99</f>
        <v>Ad_10</v>
      </c>
      <c r="B99" s="8">
        <f>Base_de_dados!G99/Base_de_dados!F99</f>
        <v>1.3873473917869035E-2</v>
      </c>
      <c r="C99" s="9">
        <f>Base_de_dados!G99/Base_de_dados!H99</f>
        <v>3.1347961822309152E-2</v>
      </c>
      <c r="D99" s="9">
        <f>Base_de_dados!I99*300</f>
        <v>15000</v>
      </c>
      <c r="E99" s="10">
        <f>Base_de_dados!H99/Base_de_dados!I99</f>
        <v>63.800001139999992</v>
      </c>
      <c r="F99" s="11">
        <f>(D99-Base_de_dados!H99)/Base_de_dados!H99</f>
        <v>3.7021942733463726</v>
      </c>
    </row>
    <row r="100" spans="1:6">
      <c r="A100" s="6" t="str">
        <f>Base_de_dados!A100</f>
        <v>Ad_10</v>
      </c>
      <c r="B100" s="8">
        <f>Base_de_dados!G100/Base_de_dados!F100</f>
        <v>8.0070462006565785E-3</v>
      </c>
      <c r="C100" s="9">
        <f>Base_de_dados!G100/Base_de_dados!H100</f>
        <v>5.1020407174094153E-2</v>
      </c>
      <c r="D100" s="9">
        <f>Base_de_dados!I100*300</f>
        <v>15000</v>
      </c>
      <c r="E100" s="10">
        <f>Base_de_dados!H100/Base_de_dados!I100</f>
        <v>39.200000759999995</v>
      </c>
      <c r="F100" s="11">
        <f>(D100-Base_de_dados!H100)/Base_de_dados!H100</f>
        <v>6.6530610761141222</v>
      </c>
    </row>
    <row r="101" spans="1:6">
      <c r="A101" s="6" t="str">
        <f>Base_de_dados!A101</f>
        <v>Ad_10</v>
      </c>
      <c r="B101" s="8">
        <f>Base_de_dados!G101/Base_de_dados!F101</f>
        <v>6.2250996015936252E-3</v>
      </c>
      <c r="C101" s="9">
        <f>Base_de_dados!G101/Base_de_dados!H101</f>
        <v>8.3333330000000136E-2</v>
      </c>
      <c r="D101" s="9">
        <f>Base_de_dados!I101*300</f>
        <v>30000</v>
      </c>
      <c r="E101" s="10">
        <f>Base_de_dados!H101/Base_de_dados!I101</f>
        <v>6.0000002399999994</v>
      </c>
      <c r="F101" s="11">
        <f>(D101-Base_de_dados!H101)/Base_de_dados!H101</f>
        <v>48.999998000000083</v>
      </c>
    </row>
    <row r="102" spans="1:6">
      <c r="A102" s="6" t="str">
        <f>Base_de_dados!A102</f>
        <v>Ad_10</v>
      </c>
      <c r="B102" s="8">
        <f>Base_de_dados!G102/Base_de_dados!F102</f>
        <v>4.3316295590401111E-3</v>
      </c>
      <c r="C102" s="9">
        <f>Base_de_dados!G102/Base_de_dados!H102</f>
        <v>3.0211479796642977E-2</v>
      </c>
      <c r="D102" s="9">
        <f>Base_de_dados!I102*300</f>
        <v>30000</v>
      </c>
      <c r="E102" s="10">
        <f>Base_de_dados!H102/Base_de_dados!I102</f>
        <v>33.100000620000003</v>
      </c>
      <c r="F102" s="11">
        <f>(D102-Base_de_dados!H102)/Base_de_dados!H102</f>
        <v>8.0634439389928936</v>
      </c>
    </row>
    <row r="103" spans="1:6">
      <c r="A103" s="6" t="str">
        <f>Base_de_dados!A103</f>
        <v>Ad_10</v>
      </c>
      <c r="B103" s="8">
        <f>Base_de_dados!G103/Base_de_dados!F103</f>
        <v>3.0441400304414001E-3</v>
      </c>
      <c r="C103" s="9">
        <f>Base_de_dados!G103/Base_de_dados!H103</f>
        <v>3.2258065515088481E-2</v>
      </c>
      <c r="D103" s="9">
        <f>Base_de_dados!I103*300</f>
        <v>15000</v>
      </c>
      <c r="E103" s="10">
        <f>Base_de_dados!H103/Base_de_dados!I103</f>
        <v>30.999999040000002</v>
      </c>
      <c r="F103" s="11">
        <f>(D103-Base_de_dados!H103)/Base_de_dados!H103</f>
        <v>8.6774196545265436</v>
      </c>
    </row>
    <row r="104" spans="1:6">
      <c r="A104" s="6" t="str">
        <f>Base_de_dados!A104</f>
        <v>Ad_10</v>
      </c>
      <c r="B104" s="8">
        <f>Base_de_dados!G104/Base_de_dados!F104</f>
        <v>5.713502148276808E-3</v>
      </c>
      <c r="C104" s="9">
        <f>Base_de_dados!G104/Base_de_dados!H104</f>
        <v>4.5955882876703075E-2</v>
      </c>
      <c r="D104" s="9">
        <f>Base_de_dados!I104*300</f>
        <v>0</v>
      </c>
      <c r="E104" s="10" t="e">
        <f>Base_de_dados!H104/Base_de_dados!I104</f>
        <v>#DIV/0!</v>
      </c>
      <c r="F104" s="11">
        <f>(D104-Base_de_dados!H104)/Base_de_dados!H104</f>
        <v>-1</v>
      </c>
    </row>
    <row r="105" spans="1:6">
      <c r="A105" s="6" t="str">
        <f>Base_de_dados!A105</f>
        <v>Ad_10</v>
      </c>
      <c r="B105" s="8">
        <f>Base_de_dados!G105/Base_de_dados!F105</f>
        <v>8.9576304081693588E-3</v>
      </c>
      <c r="C105" s="9">
        <f>Base_de_dados!G105/Base_de_dados!H105</f>
        <v>2.8382214645079146E-2</v>
      </c>
      <c r="D105" s="9">
        <f>Base_de_dados!I105*300</f>
        <v>45000</v>
      </c>
      <c r="E105" s="10">
        <f>Base_de_dados!H105/Base_de_dados!I105</f>
        <v>70.466664599999987</v>
      </c>
      <c r="F105" s="11">
        <f>(D105-Base_de_dados!H105)/Base_de_dados!H105</f>
        <v>3.257332196761872</v>
      </c>
    </row>
    <row r="106" spans="1:6">
      <c r="A106" s="6" t="str">
        <f>Base_de_dados!A106</f>
        <v>Ad_10</v>
      </c>
      <c r="B106" s="8">
        <f>Base_de_dados!G106/Base_de_dados!F106</f>
        <v>4.9793357566100685E-3</v>
      </c>
      <c r="C106" s="9">
        <f>Base_de_dados!G106/Base_de_dados!H106</f>
        <v>3.1249999531250003E-2</v>
      </c>
      <c r="D106" s="9">
        <f>Base_de_dados!I106*300</f>
        <v>45000</v>
      </c>
      <c r="E106" s="10">
        <f>Base_de_dados!H106/Base_de_dados!I106</f>
        <v>21.333333653333337</v>
      </c>
      <c r="F106" s="11">
        <f>(D106-Base_de_dados!H106)/Base_de_dados!H106</f>
        <v>13.062499789062501</v>
      </c>
    </row>
    <row r="107" spans="1:6">
      <c r="A107" s="6" t="str">
        <f>Base_de_dados!A107</f>
        <v>Ad_10</v>
      </c>
      <c r="B107" s="8">
        <f>Base_de_dados!G107/Base_de_dados!F107</f>
        <v>3.2328979697400749E-3</v>
      </c>
      <c r="C107" s="9">
        <f>Base_de_dados!G107/Base_de_dados!H107</f>
        <v>5.1546390211499669E-2</v>
      </c>
      <c r="D107" s="9">
        <f>Base_de_dados!I107*300</f>
        <v>15000</v>
      </c>
      <c r="E107" s="10">
        <f>Base_de_dados!H107/Base_de_dados!I107</f>
        <v>19.40000058</v>
      </c>
      <c r="F107" s="11">
        <f>(D107-Base_de_dados!H107)/Base_de_dados!H107</f>
        <v>14.463917063449902</v>
      </c>
    </row>
    <row r="108" spans="1:6">
      <c r="A108" s="6" t="str">
        <f>Base_de_dados!A108</f>
        <v>Ad_10</v>
      </c>
      <c r="B108" s="8">
        <f>Base_de_dados!G108/Base_de_dados!F108</f>
        <v>5.5407801418439718E-3</v>
      </c>
      <c r="C108" s="9">
        <f>Base_de_dados!G108/Base_de_dados!H108</f>
        <v>3.4324942752488624E-2</v>
      </c>
      <c r="D108" s="9">
        <f>Base_de_dados!I108*300</f>
        <v>15000</v>
      </c>
      <c r="E108" s="10">
        <f>Base_de_dados!H108/Base_de_dados!I108</f>
        <v>87.4000001</v>
      </c>
      <c r="F108" s="11">
        <f>(D108-Base_de_dados!H108)/Base_de_dados!H108</f>
        <v>2.4324942752488625</v>
      </c>
    </row>
    <row r="109" spans="1:6">
      <c r="A109" s="6" t="str">
        <f>Base_de_dados!A109</f>
        <v>Ad_10</v>
      </c>
      <c r="B109" s="8">
        <f>Base_de_dados!G109/Base_de_dados!F109</f>
        <v>3.1739986034406147E-3</v>
      </c>
      <c r="C109" s="9">
        <f>Base_de_dados!G109/Base_de_dados!H109</f>
        <v>8.771929932286858E-2</v>
      </c>
      <c r="D109" s="9">
        <f>Base_de_dados!I109*300</f>
        <v>30000</v>
      </c>
      <c r="E109" s="10">
        <f>Base_de_dados!H109/Base_de_dados!I109</f>
        <v>5.6999999300000006</v>
      </c>
      <c r="F109" s="11">
        <f>(D109-Base_de_dados!H109)/Base_de_dados!H109</f>
        <v>51.631579593721149</v>
      </c>
    </row>
    <row r="110" spans="1:6">
      <c r="A110" s="6" t="str">
        <f>Base_de_dados!A110</f>
        <v>Ad_10</v>
      </c>
      <c r="B110" s="8">
        <f>Base_de_dados!G110/Base_de_dados!F110</f>
        <v>6.276675872457946E-3</v>
      </c>
      <c r="C110" s="9">
        <f>Base_de_dados!G110/Base_de_dados!H110</f>
        <v>4.2372883223211796E-2</v>
      </c>
      <c r="D110" s="9">
        <f>Base_de_dados!I110*300</f>
        <v>30000</v>
      </c>
      <c r="E110" s="10">
        <f>Base_de_dados!H110/Base_de_dados!I110</f>
        <v>11.799999480000002</v>
      </c>
      <c r="F110" s="11">
        <f>(D110-Base_de_dados!H110)/Base_de_dados!H110</f>
        <v>24.423729933927078</v>
      </c>
    </row>
    <row r="111" spans="1:6">
      <c r="A111" s="6" t="str">
        <f>Base_de_dados!A111</f>
        <v>Ad_10</v>
      </c>
      <c r="B111" s="8">
        <f>Base_de_dados!G111/Base_de_dados!F111</f>
        <v>1.1732499022291749E-2</v>
      </c>
      <c r="C111" s="9">
        <f>Base_de_dados!G111/Base_de_dados!H111</f>
        <v>3.1712473445552433E-2</v>
      </c>
      <c r="D111" s="9">
        <f>Base_de_dados!I111*300</f>
        <v>45000</v>
      </c>
      <c r="E111" s="10">
        <f>Base_de_dados!H111/Base_de_dados!I111</f>
        <v>31.533333460000001</v>
      </c>
      <c r="F111" s="11">
        <f>(D111-Base_de_dados!H111)/Base_de_dados!H111</f>
        <v>8.5137420336657303</v>
      </c>
    </row>
    <row r="112" spans="1:6">
      <c r="A112" s="6" t="str">
        <f>Base_de_dados!A112</f>
        <v>Ad_10</v>
      </c>
      <c r="B112" s="8">
        <f>Base_de_dados!G112/Base_de_dados!F112</f>
        <v>6.0879094119079512E-3</v>
      </c>
      <c r="C112" s="9">
        <f>Base_de_dados!G112/Base_de_dados!H112</f>
        <v>3.6231884189245958E-2</v>
      </c>
      <c r="D112" s="9">
        <f>Base_de_dados!I112*300</f>
        <v>30000</v>
      </c>
      <c r="E112" s="10">
        <f>Base_de_dados!H112/Base_de_dados!I112</f>
        <v>13.799999949999998</v>
      </c>
      <c r="F112" s="11">
        <f>(D112-Base_de_dados!H112)/Base_de_dados!H112</f>
        <v>20.739130513547575</v>
      </c>
    </row>
    <row r="113" spans="1:6">
      <c r="A113" s="6" t="str">
        <f>Base_de_dados!A113</f>
        <v>Ad_10</v>
      </c>
      <c r="B113" s="8">
        <f>Base_de_dados!G113/Base_de_dados!F113</f>
        <v>1.5712153350616702E-2</v>
      </c>
      <c r="C113" s="9">
        <f>Base_de_dados!G113/Base_de_dados!H113</f>
        <v>3.4602077010572212E-2</v>
      </c>
      <c r="D113" s="9">
        <f>Base_de_dados!I113*300</f>
        <v>15000</v>
      </c>
      <c r="E113" s="10">
        <f>Base_de_dados!H113/Base_de_dados!I113</f>
        <v>115.59999704000002</v>
      </c>
      <c r="F113" s="11">
        <f>(D113-Base_de_dados!H113)/Base_de_dados!H113</f>
        <v>1.5951557757929158</v>
      </c>
    </row>
    <row r="114" spans="1:6">
      <c r="A114" s="6" t="str">
        <f>Base_de_dados!A114</f>
        <v>Ad_10</v>
      </c>
      <c r="B114" s="8">
        <f>Base_de_dados!G114/Base_de_dados!F114</f>
        <v>1.7343045438779049E-2</v>
      </c>
      <c r="C114" s="9">
        <f>Base_de_dados!G114/Base_de_dados!H114</f>
        <v>5.0505049994898479E-2</v>
      </c>
      <c r="D114" s="9">
        <f>Base_de_dados!I114*300</f>
        <v>30000</v>
      </c>
      <c r="E114" s="10">
        <f>Base_de_dados!H114/Base_de_dados!I114</f>
        <v>9.9000001000000015</v>
      </c>
      <c r="F114" s="11">
        <f>(D114-Base_de_dados!H114)/Base_de_dados!H114</f>
        <v>29.303029996939088</v>
      </c>
    </row>
    <row r="115" spans="1:6">
      <c r="A115" s="6" t="str">
        <f>Base_de_dados!A115</f>
        <v>Ad_10</v>
      </c>
      <c r="B115" s="8">
        <f>Base_de_dados!G115/Base_de_dados!F115</f>
        <v>9.5987713572662694E-3</v>
      </c>
      <c r="C115" s="9">
        <f>Base_de_dados!G115/Base_de_dados!H115</f>
        <v>5.208333447265627E-2</v>
      </c>
      <c r="D115" s="9">
        <f>Base_de_dados!I115*300</f>
        <v>30000</v>
      </c>
      <c r="E115" s="10">
        <f>Base_de_dados!H115/Base_de_dados!I115</f>
        <v>9.59999979</v>
      </c>
      <c r="F115" s="11">
        <f>(D115-Base_de_dados!H115)/Base_de_dados!H115</f>
        <v>30.250000683593765</v>
      </c>
    </row>
    <row r="116" spans="1:6">
      <c r="A116" s="6" t="str">
        <f>Base_de_dados!A116</f>
        <v>Ad_10</v>
      </c>
      <c r="B116" s="8">
        <f>Base_de_dados!G116/Base_de_dados!F116</f>
        <v>1.1133377866844801E-2</v>
      </c>
      <c r="C116" s="9">
        <f>Base_de_dados!G116/Base_de_dados!H116</f>
        <v>5.7251909598799632E-2</v>
      </c>
      <c r="D116" s="9">
        <f>Base_de_dados!I116*300</f>
        <v>45000</v>
      </c>
      <c r="E116" s="10">
        <f>Base_de_dados!H116/Base_de_dados!I116</f>
        <v>17.4666663</v>
      </c>
      <c r="F116" s="11">
        <f>(D116-Base_de_dados!H116)/Base_de_dados!H116</f>
        <v>16.175572879639887</v>
      </c>
    </row>
    <row r="117" spans="1:6">
      <c r="A117" s="6" t="str">
        <f>Base_de_dados!A117</f>
        <v>Ad_10</v>
      </c>
      <c r="B117" s="8">
        <f>Base_de_dados!G117/Base_de_dados!F117</f>
        <v>1.0831889081455806E-2</v>
      </c>
      <c r="C117" s="9">
        <f>Base_de_dados!G117/Base_de_dados!H117</f>
        <v>3.6764705503892742E-2</v>
      </c>
      <c r="D117" s="9">
        <f>Base_de_dados!I117*300</f>
        <v>15000</v>
      </c>
      <c r="E117" s="10">
        <f>Base_de_dados!H117/Base_de_dados!I117</f>
        <v>27.200000279999998</v>
      </c>
      <c r="F117" s="11">
        <f>(D117-Base_de_dados!H117)/Base_de_dados!H117</f>
        <v>10.029411651167822</v>
      </c>
    </row>
    <row r="118" spans="1:6">
      <c r="A118" s="6" t="str">
        <f>Base_de_dados!A118</f>
        <v>Ad_10</v>
      </c>
      <c r="B118" s="8">
        <f>Base_de_dados!G118/Base_de_dados!F118</f>
        <v>1.0597898083546763E-2</v>
      </c>
      <c r="C118" s="9">
        <f>Base_de_dados!G118/Base_de_dados!H118</f>
        <v>3.0181085987757542E-2</v>
      </c>
      <c r="D118" s="9">
        <f>Base_de_dados!I118*300</f>
        <v>30000</v>
      </c>
      <c r="E118" s="10">
        <f>Base_de_dados!H118/Base_de_dados!I118</f>
        <v>198.80000349999997</v>
      </c>
      <c r="F118" s="11">
        <f>(D118-Base_de_dados!H118)/Base_de_dados!H118</f>
        <v>0.50905429938787716</v>
      </c>
    </row>
    <row r="119" spans="1:6">
      <c r="A119" s="6" t="str">
        <f>Base_de_dados!A119</f>
        <v>Ad_10</v>
      </c>
      <c r="B119" s="8">
        <f>Base_de_dados!G119/Base_de_dados!F119</f>
        <v>1.278227524499361E-2</v>
      </c>
      <c r="C119" s="9">
        <f>Base_de_dados!G119/Base_de_dados!H119</f>
        <v>3.3112582993435967E-2</v>
      </c>
      <c r="D119" s="9">
        <f>Base_de_dados!I119*300</f>
        <v>30000</v>
      </c>
      <c r="E119" s="10">
        <f>Base_de_dados!H119/Base_de_dados!I119</f>
        <v>45.299999709999994</v>
      </c>
      <c r="F119" s="11">
        <f>(D119-Base_de_dados!H119)/Base_de_dados!H119</f>
        <v>5.6225165986871941</v>
      </c>
    </row>
    <row r="120" spans="1:6">
      <c r="A120" s="6" t="str">
        <f>Base_de_dados!A120</f>
        <v>Ad_10</v>
      </c>
      <c r="B120" s="8">
        <f>Base_de_dados!G120/Base_de_dados!F120</f>
        <v>1.5713387806411062E-2</v>
      </c>
      <c r="C120" s="9">
        <f>Base_de_dados!G120/Base_de_dados!H120</f>
        <v>3.6873157147083661E-2</v>
      </c>
      <c r="D120" s="9">
        <f>Base_de_dados!I120*300</f>
        <v>15000</v>
      </c>
      <c r="E120" s="10">
        <f>Base_de_dados!H120/Base_de_dados!I120</f>
        <v>135.59999704000001</v>
      </c>
      <c r="F120" s="11">
        <f>(D120-Base_de_dados!H120)/Base_de_dados!H120</f>
        <v>1.2123894288250197</v>
      </c>
    </row>
    <row r="121" spans="1:6">
      <c r="A121" s="6" t="str">
        <f>Base_de_dados!A121</f>
        <v>Ad_10</v>
      </c>
      <c r="B121" s="8">
        <f>Base_de_dados!G121/Base_de_dados!F121</f>
        <v>1.0651896037494673E-2</v>
      </c>
      <c r="C121" s="9">
        <f>Base_de_dados!G121/Base_de_dados!H121</f>
        <v>3.1847132693009893E-2</v>
      </c>
      <c r="D121" s="9">
        <f>Base_de_dados!I121*300</f>
        <v>15000</v>
      </c>
      <c r="E121" s="10">
        <f>Base_de_dados!H121/Base_de_dados!I121</f>
        <v>62.8000021</v>
      </c>
      <c r="F121" s="11">
        <f>(D121-Base_de_dados!H121)/Base_de_dados!H121</f>
        <v>3.7770699039514843</v>
      </c>
    </row>
    <row r="122" spans="1:6">
      <c r="A122" s="6" t="str">
        <f>Base_de_dados!A122</f>
        <v>Ad_10</v>
      </c>
      <c r="B122" s="8">
        <f>Base_de_dados!G122/Base_de_dados!F122</f>
        <v>1.6709368385875015E-2</v>
      </c>
      <c r="C122" s="9">
        <f>Base_de_dados!G122/Base_de_dados!H122</f>
        <v>3.9787797353108827E-2</v>
      </c>
      <c r="D122" s="9">
        <f>Base_de_dados!I122*300</f>
        <v>45000</v>
      </c>
      <c r="E122" s="10">
        <f>Base_de_dados!H122/Base_de_dados!I122</f>
        <v>50.266667999999996</v>
      </c>
      <c r="F122" s="11">
        <f>(D122-Base_de_dados!H122)/Base_de_dados!H122</f>
        <v>4.9681696029663236</v>
      </c>
    </row>
    <row r="123" spans="1:6">
      <c r="A123" s="6" t="str">
        <f>Base_de_dados!A123</f>
        <v>Ad_10</v>
      </c>
      <c r="B123" s="8">
        <f>Base_de_dados!G123/Base_de_dados!F123</f>
        <v>6.553938917289291E-3</v>
      </c>
      <c r="C123" s="9">
        <f>Base_de_dados!G123/Base_de_dados!H123</f>
        <v>6.9444441647376648E-2</v>
      </c>
      <c r="D123" s="9">
        <f>Base_de_dados!I123*300</f>
        <v>30000</v>
      </c>
      <c r="E123" s="10">
        <f>Base_de_dados!H123/Base_de_dados!I123</f>
        <v>7.2000002900000002</v>
      </c>
      <c r="F123" s="11">
        <f>(D123-Base_de_dados!H123)/Base_de_dados!H123</f>
        <v>40.666664988425993</v>
      </c>
    </row>
    <row r="124" spans="1:6">
      <c r="A124" s="6" t="str">
        <f>Base_de_dados!A124</f>
        <v>Ad_10</v>
      </c>
      <c r="B124" s="8">
        <f>Base_de_dados!G124/Base_de_dados!F124</f>
        <v>6.7087079028579095E-3</v>
      </c>
      <c r="C124" s="9">
        <f>Base_de_dados!G124/Base_de_dados!H124</f>
        <v>2.9761905683106601E-2</v>
      </c>
      <c r="D124" s="9">
        <f>Base_de_dados!I124*300</f>
        <v>30000</v>
      </c>
      <c r="E124" s="10">
        <f>Base_de_dados!H124/Base_de_dados!I124</f>
        <v>16.79999948</v>
      </c>
      <c r="F124" s="11">
        <f>(D124-Base_de_dados!H124)/Base_de_dados!H124</f>
        <v>16.857143409863962</v>
      </c>
    </row>
    <row r="125" spans="1:6">
      <c r="A125" s="6" t="str">
        <f>Base_de_dados!A125</f>
        <v>Ad_10</v>
      </c>
      <c r="B125" s="8">
        <f>Base_de_dados!G125/Base_de_dados!F125</f>
        <v>1.6170763260025874E-2</v>
      </c>
      <c r="C125" s="9">
        <f>Base_de_dados!G125/Base_de_dados!H125</f>
        <v>3.6363636363636362E-2</v>
      </c>
      <c r="D125" s="9">
        <f>Base_de_dados!I125*300</f>
        <v>30000</v>
      </c>
      <c r="E125" s="10">
        <f>Base_de_dados!H125/Base_de_dados!I125</f>
        <v>27.5</v>
      </c>
      <c r="F125" s="11">
        <f>(D125-Base_de_dados!H125)/Base_de_dados!H125</f>
        <v>9.9090909090909083</v>
      </c>
    </row>
    <row r="126" spans="1:6">
      <c r="A126" s="6" t="str">
        <f>Base_de_dados!A126</f>
        <v>Ad_10</v>
      </c>
      <c r="B126" s="8">
        <f>Base_de_dados!G126/Base_de_dados!F126</f>
        <v>1.6422158966498797E-2</v>
      </c>
      <c r="C126" s="9">
        <f>Base_de_dados!G126/Base_de_dados!H126</f>
        <v>3.5885166888921967E-2</v>
      </c>
      <c r="D126" s="9">
        <f>Base_de_dados!I126*300</f>
        <v>30000</v>
      </c>
      <c r="E126" s="10">
        <f>Base_de_dados!H126/Base_de_dados!I126</f>
        <v>41.800000670000003</v>
      </c>
      <c r="F126" s="11">
        <f>(D126-Base_de_dados!H126)/Base_de_dados!H126</f>
        <v>6.1770333777843929</v>
      </c>
    </row>
    <row r="127" spans="1:6">
      <c r="A127" s="6" t="str">
        <f>Base_de_dados!A127</f>
        <v>Ad_10</v>
      </c>
      <c r="B127" s="8">
        <f>Base_de_dados!G127/Base_de_dados!F127</f>
        <v>1.4771048744460856E-2</v>
      </c>
      <c r="C127" s="9">
        <f>Base_de_dados!G127/Base_de_dados!H127</f>
        <v>3.472222084780098E-2</v>
      </c>
      <c r="D127" s="9">
        <f>Base_de_dados!I127*300</f>
        <v>30000</v>
      </c>
      <c r="E127" s="10">
        <f>Base_de_dados!H127/Base_de_dados!I127</f>
        <v>14.40000057</v>
      </c>
      <c r="F127" s="11">
        <f>(D127-Base_de_dados!H127)/Base_de_dados!H127</f>
        <v>19.833332508680588</v>
      </c>
    </row>
    <row r="128" spans="1:6">
      <c r="A128" s="6" t="str">
        <f>Base_de_dados!A128</f>
        <v>Ad_10</v>
      </c>
      <c r="B128" s="8">
        <f>Base_de_dados!G128/Base_de_dados!F128</f>
        <v>8.1406707912732006E-3</v>
      </c>
      <c r="C128" s="9">
        <f>Base_de_dados!G128/Base_de_dados!H128</f>
        <v>3.7593983746961428E-2</v>
      </c>
      <c r="D128" s="9">
        <f>Base_de_dados!I128*300</f>
        <v>15000</v>
      </c>
      <c r="E128" s="10">
        <f>Base_de_dados!H128/Base_de_dados!I128</f>
        <v>26.600000860000002</v>
      </c>
      <c r="F128" s="11">
        <f>(D128-Base_de_dados!H128)/Base_de_dados!H128</f>
        <v>10.278195124088429</v>
      </c>
    </row>
    <row r="129" spans="1:6">
      <c r="A129" s="6" t="str">
        <f>Base_de_dados!A129</f>
        <v>Ad_10</v>
      </c>
      <c r="B129" s="8">
        <f>Base_de_dados!G129/Base_de_dados!F129</f>
        <v>1.6407788230146575E-2</v>
      </c>
      <c r="C129" s="9">
        <f>Base_de_dados!G129/Base_de_dados!H129</f>
        <v>4.0000001269333375E-2</v>
      </c>
      <c r="D129" s="9">
        <f>Base_de_dados!I129*300</f>
        <v>15000</v>
      </c>
      <c r="E129" s="10">
        <f>Base_de_dados!H129/Base_de_dados!I129</f>
        <v>74.999997619999988</v>
      </c>
      <c r="F129" s="11">
        <f>(D129-Base_de_dados!H129)/Base_de_dados!H129</f>
        <v>3.0000001269333376</v>
      </c>
    </row>
    <row r="130" spans="1:6">
      <c r="A130" s="6" t="str">
        <f>Base_de_dados!A130</f>
        <v>Ad_10</v>
      </c>
      <c r="B130" s="8">
        <f>Base_de_dados!G130/Base_de_dados!F130</f>
        <v>1.8264840182648401E-2</v>
      </c>
      <c r="C130" s="9">
        <f>Base_de_dados!G130/Base_de_dados!H130</f>
        <v>3.6630036375102308E-2</v>
      </c>
      <c r="D130" s="9">
        <f>Base_de_dados!I130*300</f>
        <v>30000</v>
      </c>
      <c r="E130" s="10">
        <f>Base_de_dados!H130/Base_de_dados!I130</f>
        <v>27.300000190000002</v>
      </c>
      <c r="F130" s="11">
        <f>(D130-Base_de_dados!H130)/Base_de_dados!H130</f>
        <v>9.9890109125306932</v>
      </c>
    </row>
    <row r="131" spans="1:6">
      <c r="A131" s="6" t="str">
        <f>Base_de_dados!A131</f>
        <v>Ad_10</v>
      </c>
      <c r="B131" s="8">
        <f>Base_de_dados!G131/Base_de_dados!F131</f>
        <v>1.2462612163509471E-2</v>
      </c>
      <c r="C131" s="9">
        <f>Base_de_dados!G131/Base_de_dados!H131</f>
        <v>3.1847132703152294E-2</v>
      </c>
      <c r="D131" s="9">
        <f>Base_de_dados!I131*300</f>
        <v>15000</v>
      </c>
      <c r="E131" s="10">
        <f>Base_de_dados!H131/Base_de_dados!I131</f>
        <v>31.400001039999996</v>
      </c>
      <c r="F131" s="11">
        <f>(D131-Base_de_dados!H131)/Base_de_dados!H131</f>
        <v>8.5541398109456885</v>
      </c>
    </row>
    <row r="132" spans="1:6">
      <c r="A132" s="6" t="str">
        <f>Base_de_dados!A132</f>
        <v>Ad_10</v>
      </c>
      <c r="B132" s="8">
        <f>Base_de_dados!G132/Base_de_dados!F132</f>
        <v>8.0671184252984838E-3</v>
      </c>
      <c r="C132" s="9">
        <f>Base_de_dados!G132/Base_de_dados!H132</f>
        <v>3.1152647606292643E-2</v>
      </c>
      <c r="D132" s="9">
        <f>Base_de_dados!I132*300</f>
        <v>45000</v>
      </c>
      <c r="E132" s="10">
        <f>Base_de_dados!H132/Base_de_dados!I132</f>
        <v>21.400000253333335</v>
      </c>
      <c r="F132" s="11">
        <f>(D132-Base_de_dados!H132)/Base_de_dados!H132</f>
        <v>13.01869142283169</v>
      </c>
    </row>
    <row r="133" spans="1:6">
      <c r="A133" s="6" t="str">
        <f>Base_de_dados!A133</f>
        <v>Ad_10</v>
      </c>
      <c r="B133" s="8">
        <f>Base_de_dados!G133/Base_de_dados!F133</f>
        <v>3.1806615776081423E-3</v>
      </c>
      <c r="C133" s="9">
        <f>Base_de_dados!G133/Base_de_dados!H133</f>
        <v>3.6231884189245958E-2</v>
      </c>
      <c r="D133" s="9">
        <f>Base_de_dados!I133*300</f>
        <v>15000</v>
      </c>
      <c r="E133" s="10">
        <f>Base_de_dados!H133/Base_de_dados!I133</f>
        <v>27.599999899999997</v>
      </c>
      <c r="F133" s="11">
        <f>(D133-Base_de_dados!H133)/Base_de_dados!H133</f>
        <v>9.8695652567737877</v>
      </c>
    </row>
    <row r="134" spans="1:6">
      <c r="A134" s="6" t="str">
        <f>Base_de_dados!A134</f>
        <v>Ad_10</v>
      </c>
      <c r="B134" s="8">
        <f>Base_de_dados!G134/Base_de_dados!F134</f>
        <v>1.9280205655526992E-2</v>
      </c>
      <c r="C134" s="9">
        <f>Base_de_dados!G134/Base_de_dados!H134</f>
        <v>3.4642032940599192E-2</v>
      </c>
      <c r="D134" s="9">
        <f>Base_de_dados!I134*300</f>
        <v>60000</v>
      </c>
      <c r="E134" s="10">
        <f>Base_de_dados!H134/Base_de_dados!I134</f>
        <v>21.649999619999999</v>
      </c>
      <c r="F134" s="11">
        <f>(D134-Base_de_dados!H134)/Base_de_dados!H134</f>
        <v>12.856813176239678</v>
      </c>
    </row>
    <row r="135" spans="1:6">
      <c r="A135" s="6" t="str">
        <f>Base_de_dados!A135</f>
        <v>Ad_11</v>
      </c>
      <c r="B135" s="8">
        <f>Base_de_dados!G135/Base_de_dados!F135</f>
        <v>9.9522292993630568E-3</v>
      </c>
      <c r="C135" s="9">
        <f>Base_de_dados!G135/Base_de_dados!H135</f>
        <v>3.5460993737739574E-2</v>
      </c>
      <c r="D135" s="9">
        <f>Base_de_dados!I135*300</f>
        <v>30000</v>
      </c>
      <c r="E135" s="10">
        <f>Base_de_dados!H135/Base_de_dados!I135</f>
        <v>14.099999669999999</v>
      </c>
      <c r="F135" s="11">
        <f>(D135-Base_de_dados!H135)/Base_de_dados!H135</f>
        <v>20.276596242643741</v>
      </c>
    </row>
    <row r="136" spans="1:6">
      <c r="A136" s="6" t="str">
        <f>Base_de_dados!A136</f>
        <v>Ad_11</v>
      </c>
      <c r="B136" s="8">
        <f>Base_de_dados!G136/Base_de_dados!F136</f>
        <v>1.1467013225288586E-2</v>
      </c>
      <c r="C136" s="9">
        <f>Base_de_dados!G136/Base_de_dados!H136</f>
        <v>3.6003600316827367E-2</v>
      </c>
      <c r="D136" s="9">
        <f>Base_de_dados!I136*300</f>
        <v>90000</v>
      </c>
      <c r="E136" s="10">
        <f>Base_de_dados!H136/Base_de_dados!I136</f>
        <v>111.10000013333332</v>
      </c>
      <c r="F136" s="11">
        <f>(D136-Base_de_dados!H136)/Base_de_dados!H136</f>
        <v>1.7002700237620523</v>
      </c>
    </row>
    <row r="137" spans="1:6">
      <c r="A137" s="6" t="str">
        <f>Base_de_dados!A137</f>
        <v>Ad_11</v>
      </c>
      <c r="B137" s="8">
        <f>Base_de_dados!G137/Base_de_dados!F137</f>
        <v>1.7638758231420509E-2</v>
      </c>
      <c r="C137" s="9">
        <f>Base_de_dados!G137/Base_de_dados!H137</f>
        <v>4.4910178390225569E-2</v>
      </c>
      <c r="D137" s="9">
        <f>Base_de_dados!I137*300</f>
        <v>30000</v>
      </c>
      <c r="E137" s="10">
        <f>Base_de_dados!H137/Base_de_dados!I137</f>
        <v>33.400000930000004</v>
      </c>
      <c r="F137" s="11">
        <f>(D137-Base_de_dados!H137)/Base_de_dados!H137</f>
        <v>7.982035678045114</v>
      </c>
    </row>
    <row r="138" spans="1:6">
      <c r="A138" s="6" t="str">
        <f>Base_de_dados!A138</f>
        <v>Ad_11</v>
      </c>
      <c r="B138" s="8">
        <f>Base_de_dados!G138/Base_de_dados!F138</f>
        <v>1.4795088030773782E-2</v>
      </c>
      <c r="C138" s="9">
        <f>Base_de_dados!G138/Base_de_dados!H138</f>
        <v>3.7267080412021147E-2</v>
      </c>
      <c r="D138" s="9">
        <f>Base_de_dados!I138*300</f>
        <v>15000</v>
      </c>
      <c r="E138" s="10">
        <f>Base_de_dados!H138/Base_de_dados!I138</f>
        <v>161.00000144000001</v>
      </c>
      <c r="F138" s="11">
        <f>(D138-Base_de_dados!H138)/Base_de_dados!H138</f>
        <v>0.86335402060105726</v>
      </c>
    </row>
    <row r="139" spans="1:6">
      <c r="A139" s="6" t="str">
        <f>Base_de_dados!A139</f>
        <v>Ad_11</v>
      </c>
      <c r="B139" s="8">
        <f>Base_de_dados!G139/Base_de_dados!F139</f>
        <v>1.6125131016689512E-2</v>
      </c>
      <c r="C139" s="9">
        <f>Base_de_dados!G139/Base_de_dados!H139</f>
        <v>3.8387715650914936E-2</v>
      </c>
      <c r="D139" s="9">
        <f>Base_de_dados!I139*300</f>
        <v>30000</v>
      </c>
      <c r="E139" s="10">
        <f>Base_de_dados!H139/Base_de_dados!I139</f>
        <v>52.100000380000004</v>
      </c>
      <c r="F139" s="11">
        <f>(D139-Base_de_dados!H139)/Base_de_dados!H139</f>
        <v>4.7581573476372405</v>
      </c>
    </row>
    <row r="140" spans="1:6">
      <c r="A140" s="6" t="str">
        <f>Base_de_dados!A140</f>
        <v>Ad_11</v>
      </c>
      <c r="B140" s="8">
        <f>Base_de_dados!G140/Base_de_dados!F140</f>
        <v>1.6611295681063124E-2</v>
      </c>
      <c r="C140" s="9">
        <f>Base_de_dados!G140/Base_de_dados!H140</f>
        <v>5.8139533937263399E-2</v>
      </c>
      <c r="D140" s="9">
        <f>Base_de_dados!I140*300</f>
        <v>30000</v>
      </c>
      <c r="E140" s="10">
        <f>Base_de_dados!H140/Base_de_dados!I140</f>
        <v>8.6000001400000006</v>
      </c>
      <c r="F140" s="11">
        <f>(D140-Base_de_dados!H140)/Base_de_dados!H140</f>
        <v>33.883720362358034</v>
      </c>
    </row>
    <row r="141" spans="1:6">
      <c r="A141" s="6" t="str">
        <f>Base_de_dados!A141</f>
        <v>Ad_11</v>
      </c>
      <c r="B141" s="8">
        <f>Base_de_dados!G141/Base_de_dados!F141</f>
        <v>2.0542317173377157E-2</v>
      </c>
      <c r="C141" s="9">
        <f>Base_de_dados!G141/Base_de_dados!H141</f>
        <v>4.1322312751861254E-2</v>
      </c>
      <c r="D141" s="9">
        <f>Base_de_dados!I141*300</f>
        <v>15000</v>
      </c>
      <c r="E141" s="10">
        <f>Base_de_dados!H141/Base_de_dados!I141</f>
        <v>48.400001519999996</v>
      </c>
      <c r="F141" s="11">
        <f>(D141-Base_de_dados!H141)/Base_de_dados!H141</f>
        <v>5.1983469127791881</v>
      </c>
    </row>
    <row r="142" spans="1:6">
      <c r="A142" s="6" t="str">
        <f>Base_de_dados!A142</f>
        <v>Ad_11</v>
      </c>
      <c r="B142" s="8">
        <f>Base_de_dados!G142/Base_de_dados!F142</f>
        <v>1.5186028853454821E-2</v>
      </c>
      <c r="C142" s="9">
        <f>Base_de_dados!G142/Base_de_dados!H142</f>
        <v>3.3898304533180129E-2</v>
      </c>
      <c r="D142" s="9">
        <f>Base_de_dados!I142*300</f>
        <v>15000</v>
      </c>
      <c r="E142" s="10">
        <f>Base_de_dados!H142/Base_de_dados!I142</f>
        <v>59.000000960000008</v>
      </c>
      <c r="F142" s="11">
        <f>(D142-Base_de_dados!H142)/Base_de_dados!H142</f>
        <v>4.0847456799770194</v>
      </c>
    </row>
    <row r="143" spans="1:6">
      <c r="A143" s="6" t="str">
        <f>Base_de_dados!A143</f>
        <v>Ad_11</v>
      </c>
      <c r="B143" s="8">
        <f>Base_de_dados!G143/Base_de_dados!F143</f>
        <v>9.8386462022825652E-3</v>
      </c>
      <c r="C143" s="9">
        <f>Base_de_dados!G143/Base_de_dados!H143</f>
        <v>2.6881720220545732E-2</v>
      </c>
      <c r="D143" s="9">
        <f>Base_de_dados!I143*300</f>
        <v>30000</v>
      </c>
      <c r="E143" s="10">
        <f>Base_de_dados!H143/Base_de_dados!I143</f>
        <v>37.200000289999998</v>
      </c>
      <c r="F143" s="11">
        <f>(D143-Base_de_dados!H143)/Base_de_dados!H143</f>
        <v>7.0645160661637192</v>
      </c>
    </row>
    <row r="144" spans="1:6">
      <c r="A144" s="6" t="str">
        <f>Base_de_dados!A144</f>
        <v>Ad_11</v>
      </c>
      <c r="B144" s="8">
        <f>Base_de_dados!G144/Base_de_dados!F144</f>
        <v>1.7885888034340904E-2</v>
      </c>
      <c r="C144" s="9">
        <f>Base_de_dados!G144/Base_de_dados!H144</f>
        <v>4.4943822153768548E-2</v>
      </c>
      <c r="D144" s="9">
        <f>Base_de_dados!I144*300</f>
        <v>15000</v>
      </c>
      <c r="E144" s="10">
        <f>Base_de_dados!H144/Base_de_dados!I144</f>
        <v>88.999996179999997</v>
      </c>
      <c r="F144" s="11">
        <f>(D144-Base_de_dados!H144)/Base_de_dados!H144</f>
        <v>2.3707866615326409</v>
      </c>
    </row>
    <row r="145" spans="1:6">
      <c r="A145" s="6" t="str">
        <f>Base_de_dados!A145</f>
        <v>Ad_11</v>
      </c>
      <c r="B145" s="8">
        <f>Base_de_dados!G145/Base_de_dados!F145</f>
        <v>1.6752423118343903E-2</v>
      </c>
      <c r="C145" s="9">
        <f>Base_de_dados!G145/Base_de_dados!H145</f>
        <v>3.6649213930539194E-2</v>
      </c>
      <c r="D145" s="9">
        <f>Base_de_dados!I145*300</f>
        <v>15000</v>
      </c>
      <c r="E145" s="10">
        <f>Base_de_dados!H145/Base_de_dados!I145</f>
        <v>382.0000076</v>
      </c>
      <c r="F145" s="11">
        <f>(D145-Base_de_dados!H145)/Base_de_dados!H145</f>
        <v>-0.21465970148844579</v>
      </c>
    </row>
    <row r="146" spans="1:6">
      <c r="A146" s="6" t="str">
        <f>Base_de_dados!A146</f>
        <v>Ad_11</v>
      </c>
      <c r="B146" s="8">
        <f>Base_de_dados!G146/Base_de_dados!F146</f>
        <v>8.9253837915030353E-3</v>
      </c>
      <c r="C146" s="9">
        <f>Base_de_dados!G146/Base_de_dados!H146</f>
        <v>3.1645568759013004E-2</v>
      </c>
      <c r="D146" s="9">
        <f>Base_de_dados!I146*300</f>
        <v>15000</v>
      </c>
      <c r="E146" s="10">
        <f>Base_de_dados!H146/Base_de_dados!I146</f>
        <v>31.600000860000002</v>
      </c>
      <c r="F146" s="11">
        <f>(D146-Base_de_dados!H146)/Base_de_dados!H146</f>
        <v>8.4936706277039011</v>
      </c>
    </row>
    <row r="147" spans="1:6">
      <c r="A147" s="6" t="str">
        <f>Base_de_dados!A147</f>
        <v>Ad_11</v>
      </c>
      <c r="B147" s="8">
        <f>Base_de_dados!G147/Base_de_dados!F147</f>
        <v>1.1115063133558598E-2</v>
      </c>
      <c r="C147" s="9">
        <f>Base_de_dados!G147/Base_de_dados!H147</f>
        <v>3.0273673514504773E-2</v>
      </c>
      <c r="D147" s="9">
        <f>Base_de_dados!I147*300</f>
        <v>15000</v>
      </c>
      <c r="E147" s="10">
        <f>Base_de_dados!H147/Base_de_dados!I147</f>
        <v>825.80001359999994</v>
      </c>
      <c r="F147" s="11">
        <f>(D147-Base_de_dados!H147)/Base_de_dados!H147</f>
        <v>-0.63671591782594272</v>
      </c>
    </row>
    <row r="148" spans="1:6">
      <c r="A148" s="6" t="str">
        <f>Base_de_dados!A148</f>
        <v>Ad_11</v>
      </c>
      <c r="B148" s="8">
        <f>Base_de_dados!G148/Base_de_dados!F148</f>
        <v>2.3858214042263123E-2</v>
      </c>
      <c r="C148" s="9">
        <f>Base_de_dados!G148/Base_de_dados!H148</f>
        <v>3.7194472683208378E-2</v>
      </c>
      <c r="D148" s="9">
        <f>Base_de_dados!I148*300</f>
        <v>15000</v>
      </c>
      <c r="E148" s="10">
        <f>Base_de_dados!H148/Base_de_dados!I148</f>
        <v>188.20000648000001</v>
      </c>
      <c r="F148" s="11">
        <f>(D148-Base_de_dados!H148)/Base_de_dados!H148</f>
        <v>0.59404882928035907</v>
      </c>
    </row>
    <row r="149" spans="1:6">
      <c r="A149" s="6" t="str">
        <f>Base_de_dados!A149</f>
        <v>Ad_11</v>
      </c>
      <c r="B149" s="8">
        <f>Base_de_dados!G149/Base_de_dados!F149</f>
        <v>1.3403777631329097E-2</v>
      </c>
      <c r="C149" s="9">
        <f>Base_de_dados!G149/Base_de_dados!H149</f>
        <v>3.7163208469697374E-2</v>
      </c>
      <c r="D149" s="9">
        <f>Base_de_dados!I149*300</f>
        <v>15000</v>
      </c>
      <c r="E149" s="10">
        <f>Base_de_dados!H149/Base_de_dados!I149</f>
        <v>645.79999920000012</v>
      </c>
      <c r="F149" s="11">
        <f>(D149-Base_de_dados!H149)/Base_de_dados!H149</f>
        <v>-0.53545989412878281</v>
      </c>
    </row>
    <row r="150" spans="1:6">
      <c r="A150" s="6" t="str">
        <f>Base_de_dados!A150</f>
        <v>Ad_11</v>
      </c>
      <c r="B150" s="8">
        <f>Base_de_dados!G150/Base_de_dados!F150</f>
        <v>1.4052838673412029E-2</v>
      </c>
      <c r="C150" s="9">
        <f>Base_de_dados!G150/Base_de_dados!H150</f>
        <v>5.780346757325671E-2</v>
      </c>
      <c r="D150" s="9">
        <f>Base_de_dados!I150*300</f>
        <v>30000</v>
      </c>
      <c r="E150" s="10">
        <f>Base_de_dados!H150/Base_de_dados!I150</f>
        <v>17.300000190000002</v>
      </c>
      <c r="F150" s="11">
        <f>(D150-Base_de_dados!H150)/Base_de_dados!H150</f>
        <v>16.341040271977015</v>
      </c>
    </row>
    <row r="151" spans="1:6">
      <c r="A151" s="6" t="str">
        <f>Base_de_dados!A151</f>
        <v>Ad_11</v>
      </c>
      <c r="B151" s="8">
        <f>Base_de_dados!G151/Base_de_dados!F151</f>
        <v>5.1387461459403904E-3</v>
      </c>
      <c r="C151" s="9">
        <f>Base_de_dados!G151/Base_de_dados!H151</f>
        <v>3.6231884189245958E-2</v>
      </c>
      <c r="D151" s="9">
        <f>Base_de_dados!I151*300</f>
        <v>15000</v>
      </c>
      <c r="E151" s="10">
        <f>Base_de_dados!H151/Base_de_dados!I151</f>
        <v>27.599999899999997</v>
      </c>
      <c r="F151" s="11">
        <f>(D151-Base_de_dados!H151)/Base_de_dados!H151</f>
        <v>9.8695652567737877</v>
      </c>
    </row>
    <row r="152" spans="1:6">
      <c r="A152" s="6" t="str">
        <f>Base_de_dados!A152</f>
        <v>Ad_11</v>
      </c>
      <c r="B152" s="8">
        <f>Base_de_dados!G152/Base_de_dados!F152</f>
        <v>1.6452780519907863E-2</v>
      </c>
      <c r="C152" s="9">
        <f>Base_de_dados!G152/Base_de_dados!H152</f>
        <v>3.8412291628481164E-2</v>
      </c>
      <c r="D152" s="9">
        <f>Base_de_dados!I152*300</f>
        <v>15000</v>
      </c>
      <c r="E152" s="10">
        <f>Base_de_dados!H152/Base_de_dados!I152</f>
        <v>156.20000124000001</v>
      </c>
      <c r="F152" s="11">
        <f>(D152-Base_de_dados!H152)/Base_de_dados!H152</f>
        <v>0.92061458142405839</v>
      </c>
    </row>
    <row r="153" spans="1:6">
      <c r="A153" s="6" t="str">
        <f>Base_de_dados!A153</f>
        <v>Ad_11</v>
      </c>
      <c r="B153" s="8">
        <f>Base_de_dados!G153/Base_de_dados!F153</f>
        <v>1.3572940984852597E-2</v>
      </c>
      <c r="C153" s="9">
        <f>Base_de_dados!G153/Base_de_dados!H153</f>
        <v>3.5087719298245612E-2</v>
      </c>
      <c r="D153" s="9">
        <f>Base_de_dados!I153*300</f>
        <v>15000</v>
      </c>
      <c r="E153" s="10">
        <f>Base_de_dados!H153/Base_de_dados!I153</f>
        <v>570</v>
      </c>
      <c r="F153" s="11">
        <f>(D153-Base_de_dados!H153)/Base_de_dados!H153</f>
        <v>-0.47368421052631576</v>
      </c>
    </row>
    <row r="154" spans="1:6">
      <c r="A154" s="6" t="str">
        <f>Base_de_dados!A154</f>
        <v>Ad_11</v>
      </c>
      <c r="B154" s="8">
        <f>Base_de_dados!G154/Base_de_dados!F154</f>
        <v>1.900005428586939E-2</v>
      </c>
      <c r="C154" s="9">
        <f>Base_de_dados!G154/Base_de_dados!H154</f>
        <v>3.4722222497795413E-2</v>
      </c>
      <c r="D154" s="9">
        <f>Base_de_dados!I154*300</f>
        <v>15000</v>
      </c>
      <c r="E154" s="10">
        <f>Base_de_dados!H154/Base_de_dados!I154</f>
        <v>201.5999984</v>
      </c>
      <c r="F154" s="11">
        <f>(D154-Base_de_dados!H154)/Base_de_dados!H154</f>
        <v>0.48809524990551784</v>
      </c>
    </row>
    <row r="155" spans="1:6">
      <c r="A155" s="6" t="str">
        <f>Base_de_dados!A155</f>
        <v>Ad_11</v>
      </c>
      <c r="B155" s="8">
        <f>Base_de_dados!G155/Base_de_dados!F155</f>
        <v>1.4870655644172524E-2</v>
      </c>
      <c r="C155" s="9">
        <f>Base_de_dados!G155/Base_de_dados!H155</f>
        <v>3.6040011884801451E-2</v>
      </c>
      <c r="D155" s="9">
        <f>Base_de_dados!I155*300</f>
        <v>45000</v>
      </c>
      <c r="E155" s="10">
        <f>Base_de_dados!H155/Base_de_dados!I155</f>
        <v>453.19999853333331</v>
      </c>
      <c r="F155" s="11">
        <f>(D155-Base_de_dados!H155)/Base_de_dados!H155</f>
        <v>-0.33804059803425907</v>
      </c>
    </row>
    <row r="156" spans="1:6">
      <c r="A156" s="6" t="str">
        <f>Base_de_dados!A156</f>
        <v>Ad_11</v>
      </c>
      <c r="B156" s="8">
        <f>Base_de_dados!G156/Base_de_dados!F156</f>
        <v>6.712310377231843E-3</v>
      </c>
      <c r="C156" s="9">
        <f>Base_de_dados!G156/Base_de_dados!H156</f>
        <v>3.0487805138310529E-2</v>
      </c>
      <c r="D156" s="9">
        <f>Base_de_dados!I156*300</f>
        <v>30000</v>
      </c>
      <c r="E156" s="10">
        <f>Base_de_dados!H156/Base_de_dados!I156</f>
        <v>16.399999860000001</v>
      </c>
      <c r="F156" s="11">
        <f>(D156-Base_de_dados!H156)/Base_de_dados!H156</f>
        <v>17.292683082986319</v>
      </c>
    </row>
    <row r="157" spans="1:6">
      <c r="A157" s="6" t="str">
        <f>Base_de_dados!A157</f>
        <v>Ad_11</v>
      </c>
      <c r="B157" s="8">
        <f>Base_de_dados!G157/Base_de_dados!F157</f>
        <v>7.7833125778331257E-3</v>
      </c>
      <c r="C157" s="9">
        <f>Base_de_dados!G157/Base_de_dados!H157</f>
        <v>9.4339627803489076E-2</v>
      </c>
      <c r="D157" s="9">
        <f>Base_de_dados!I157*300</f>
        <v>15000</v>
      </c>
      <c r="E157" s="10">
        <f>Base_de_dados!H157/Base_de_dados!I157</f>
        <v>10.59999942</v>
      </c>
      <c r="F157" s="11">
        <f>(D157-Base_de_dados!H157)/Base_de_dados!H157</f>
        <v>27.301888341046723</v>
      </c>
    </row>
    <row r="158" spans="1:6">
      <c r="A158" s="6" t="str">
        <f>Base_de_dados!A158</f>
        <v>Ad_11</v>
      </c>
      <c r="B158" s="8">
        <f>Base_de_dados!G158/Base_de_dados!F158</f>
        <v>4.9086982132338502E-3</v>
      </c>
      <c r="C158" s="9">
        <f>Base_de_dados!G158/Base_de_dados!H158</f>
        <v>4.0650405876131938E-2</v>
      </c>
      <c r="D158" s="9">
        <f>Base_de_dados!I158*300</f>
        <v>30000</v>
      </c>
      <c r="E158" s="10">
        <f>Base_de_dados!H158/Base_de_dados!I158</f>
        <v>12.30000019</v>
      </c>
      <c r="F158" s="11">
        <f>(D158-Base_de_dados!H158)/Base_de_dados!H158</f>
        <v>23.390243525679164</v>
      </c>
    </row>
    <row r="159" spans="1:6">
      <c r="A159" s="6" t="str">
        <f>Base_de_dados!A159</f>
        <v>Ad_11</v>
      </c>
      <c r="B159" s="8">
        <f>Base_de_dados!G159/Base_de_dados!F159</f>
        <v>1.2054417082831066E-2</v>
      </c>
      <c r="C159" s="9">
        <f>Base_de_dados!G159/Base_de_dados!H159</f>
        <v>3.9281705569222593E-2</v>
      </c>
      <c r="D159" s="9">
        <f>Base_de_dados!I159*300</f>
        <v>60000</v>
      </c>
      <c r="E159" s="10">
        <f>Base_de_dados!H159/Base_de_dados!I159</f>
        <v>44.550000429999997</v>
      </c>
      <c r="F159" s="11">
        <f>(D159-Base_de_dados!H159)/Base_de_dados!H159</f>
        <v>5.7340066690095881</v>
      </c>
    </row>
    <row r="160" spans="1:6">
      <c r="A160" s="6" t="str">
        <f>Base_de_dados!A160</f>
        <v>Ad_11</v>
      </c>
      <c r="B160" s="8">
        <f>Base_de_dados!G160/Base_de_dados!F160</f>
        <v>7.6546233925290875E-3</v>
      </c>
      <c r="C160" s="9">
        <f>Base_de_dados!G160/Base_de_dados!H160</f>
        <v>3.1055900351066704E-2</v>
      </c>
      <c r="D160" s="9">
        <f>Base_de_dados!I160*300</f>
        <v>15000</v>
      </c>
      <c r="E160" s="10">
        <f>Base_de_dados!H160/Base_de_dados!I160</f>
        <v>32.200000279999998</v>
      </c>
      <c r="F160" s="11">
        <f>(D160-Base_de_dados!H160)/Base_de_dados!H160</f>
        <v>8.3167701053200123</v>
      </c>
    </row>
    <row r="161" spans="1:6">
      <c r="A161" s="6" t="str">
        <f>Base_de_dados!A161</f>
        <v>Ad_11</v>
      </c>
      <c r="B161" s="8">
        <f>Base_de_dados!G161/Base_de_dados!F161</f>
        <v>8.4573748308525033E-3</v>
      </c>
      <c r="C161" s="9">
        <f>Base_de_dados!G161/Base_de_dados!H161</f>
        <v>3.205128322238663E-2</v>
      </c>
      <c r="D161" s="9">
        <f>Base_de_dados!I161*300</f>
        <v>30000</v>
      </c>
      <c r="E161" s="10">
        <f>Base_de_dados!H161/Base_de_dados!I161</f>
        <v>15.59999943</v>
      </c>
      <c r="F161" s="11">
        <f>(D161-Base_de_dados!H161)/Base_de_dados!H161</f>
        <v>18.230769933431979</v>
      </c>
    </row>
    <row r="162" spans="1:6">
      <c r="A162" s="6" t="str">
        <f>Base_de_dados!A162</f>
        <v>Ad_11</v>
      </c>
      <c r="B162" s="8">
        <f>Base_de_dados!G162/Base_de_dados!F162</f>
        <v>2.1640337589266392E-2</v>
      </c>
      <c r="C162" s="9">
        <f>Base_de_dados!G162/Base_de_dados!H162</f>
        <v>3.0769230769230771E-2</v>
      </c>
      <c r="D162" s="9">
        <f>Base_de_dados!I162*300</f>
        <v>30000</v>
      </c>
      <c r="E162" s="10">
        <f>Base_de_dados!H162/Base_de_dados!I162</f>
        <v>32.5</v>
      </c>
      <c r="F162" s="11">
        <f>(D162-Base_de_dados!H162)/Base_de_dados!H162</f>
        <v>8.2307692307692299</v>
      </c>
    </row>
    <row r="163" spans="1:6">
      <c r="A163" s="6" t="str">
        <f>Base_de_dados!A163</f>
        <v>Ad_11</v>
      </c>
      <c r="B163" s="8">
        <f>Base_de_dados!G163/Base_de_dados!F163</f>
        <v>8.658008658008658E-3</v>
      </c>
      <c r="C163" s="9">
        <f>Base_de_dados!G163/Base_de_dados!H163</f>
        <v>3.1645568759013004E-2</v>
      </c>
      <c r="D163" s="9">
        <f>Base_de_dados!I163*300</f>
        <v>30000</v>
      </c>
      <c r="E163" s="10">
        <f>Base_de_dados!H163/Base_de_dados!I163</f>
        <v>15.800000430000001</v>
      </c>
      <c r="F163" s="11">
        <f>(D163-Base_de_dados!H163)/Base_de_dados!H163</f>
        <v>17.987341255407802</v>
      </c>
    </row>
    <row r="164" spans="1:6">
      <c r="A164" s="6" t="str">
        <f>Base_de_dados!A164</f>
        <v>Ad_11</v>
      </c>
      <c r="B164" s="8">
        <f>Base_de_dados!G164/Base_de_dados!F164</f>
        <v>1.0756157900397977E-2</v>
      </c>
      <c r="C164" s="9">
        <f>Base_de_dados!G164/Base_de_dados!H164</f>
        <v>3.8167940592040164E-2</v>
      </c>
      <c r="D164" s="9">
        <f>Base_de_dados!I164*300</f>
        <v>45000</v>
      </c>
      <c r="E164" s="10">
        <f>Base_de_dados!H164/Base_de_dados!I164</f>
        <v>17.466665906666666</v>
      </c>
      <c r="F164" s="11">
        <f>(D164-Base_de_dados!H164)/Base_de_dados!H164</f>
        <v>16.175573266418073</v>
      </c>
    </row>
    <row r="165" spans="1:6">
      <c r="A165" s="6" t="str">
        <f>Base_de_dados!A165</f>
        <v>Ad_11</v>
      </c>
      <c r="B165" s="8">
        <f>Base_de_dados!G165/Base_de_dados!F165</f>
        <v>1.9508388607101055E-2</v>
      </c>
      <c r="C165" s="9">
        <f>Base_de_dados!G165/Base_de_dados!H165</f>
        <v>3.3783783350073052E-2</v>
      </c>
      <c r="D165" s="9">
        <f>Base_de_dados!I165*300</f>
        <v>15000</v>
      </c>
      <c r="E165" s="10">
        <f>Base_de_dados!H165/Base_de_dados!I165</f>
        <v>29.600000380000001</v>
      </c>
      <c r="F165" s="11">
        <f>(D165-Base_de_dados!H165)/Base_de_dados!H165</f>
        <v>9.1351350050219153</v>
      </c>
    </row>
    <row r="166" spans="1:6">
      <c r="A166" s="6" t="str">
        <f>Base_de_dados!A166</f>
        <v>Ad_11</v>
      </c>
      <c r="B166" s="8">
        <f>Base_de_dados!G166/Base_de_dados!F166</f>
        <v>2.2841480127912289E-2</v>
      </c>
      <c r="C166" s="9">
        <f>Base_de_dados!G166/Base_de_dados!H166</f>
        <v>0.12195122070196314</v>
      </c>
      <c r="D166" s="9">
        <f>Base_de_dados!I166*300</f>
        <v>15000</v>
      </c>
      <c r="E166" s="10">
        <f>Base_de_dados!H166/Base_de_dados!I166</f>
        <v>8.1999999199999998</v>
      </c>
      <c r="F166" s="11">
        <f>(D166-Base_de_dados!H166)/Base_de_dados!H166</f>
        <v>35.585366210588944</v>
      </c>
    </row>
    <row r="167" spans="1:6">
      <c r="A167" s="6" t="str">
        <f>Base_de_dados!A167</f>
        <v>Ad_11</v>
      </c>
      <c r="B167" s="8">
        <f>Base_de_dados!G167/Base_de_dados!F167</f>
        <v>1.2289541600098316E-2</v>
      </c>
      <c r="C167" s="9">
        <f>Base_de_dados!G167/Base_de_dados!H167</f>
        <v>3.289473725328948E-2</v>
      </c>
      <c r="D167" s="9">
        <f>Base_de_dados!I167*300</f>
        <v>30000</v>
      </c>
      <c r="E167" s="10">
        <f>Base_de_dados!H167/Base_de_dados!I167</f>
        <v>60.799999239999998</v>
      </c>
      <c r="F167" s="11">
        <f>(D167-Base_de_dados!H167)/Base_de_dados!H167</f>
        <v>3.9342105879934222</v>
      </c>
    </row>
    <row r="168" spans="1:6">
      <c r="A168" s="6" t="str">
        <f>Base_de_dados!A168</f>
        <v>Ad_12</v>
      </c>
      <c r="B168" s="8">
        <f>Base_de_dados!G168/Base_de_dados!F168</f>
        <v>1.1304544426859598E-2</v>
      </c>
      <c r="C168" s="9">
        <f>Base_de_dados!G168/Base_de_dados!H168</f>
        <v>3.4246574451116556E-2</v>
      </c>
      <c r="D168" s="9">
        <f>Base_de_dados!I168*300</f>
        <v>30000</v>
      </c>
      <c r="E168" s="10">
        <f>Base_de_dados!H168/Base_de_dados!I168</f>
        <v>14.600000379999999</v>
      </c>
      <c r="F168" s="11">
        <f>(D168-Base_de_dados!H168)/Base_de_dados!H168</f>
        <v>19.547944670669935</v>
      </c>
    </row>
    <row r="169" spans="1:6">
      <c r="A169" s="6" t="str">
        <f>Base_de_dados!A169</f>
        <v>Ad_12</v>
      </c>
      <c r="B169" s="8">
        <f>Base_de_dados!G169/Base_de_dados!F169</f>
        <v>8.0762397027943789E-3</v>
      </c>
      <c r="C169" s="9">
        <f>Base_de_dados!G169/Base_de_dados!H169</f>
        <v>3.5211268671890533E-2</v>
      </c>
      <c r="D169" s="9">
        <f>Base_de_dados!I169*300</f>
        <v>30000</v>
      </c>
      <c r="E169" s="10">
        <f>Base_de_dados!H169/Base_de_dados!I169</f>
        <v>28.399999139999998</v>
      </c>
      <c r="F169" s="11">
        <f>(D169-Base_de_dados!H169)/Base_de_dados!H169</f>
        <v>9.5633806015671592</v>
      </c>
    </row>
    <row r="170" spans="1:6">
      <c r="A170" s="6" t="str">
        <f>Base_de_dados!A170</f>
        <v>Ad_12</v>
      </c>
      <c r="B170" s="8">
        <f>Base_de_dados!G170/Base_de_dados!F170</f>
        <v>1.7018379850238258E-2</v>
      </c>
      <c r="C170" s="9">
        <f>Base_de_dados!G170/Base_de_dados!H170</f>
        <v>3.7037036378600834E-2</v>
      </c>
      <c r="D170" s="9">
        <f>Base_de_dados!I170*300</f>
        <v>30000</v>
      </c>
      <c r="E170" s="10">
        <f>Base_de_dados!H170/Base_de_dados!I170</f>
        <v>13.500000240000002</v>
      </c>
      <c r="F170" s="11">
        <f>(D170-Base_de_dados!H170)/Base_de_dados!H170</f>
        <v>21.222221827160496</v>
      </c>
    </row>
    <row r="171" spans="1:6">
      <c r="A171" s="6" t="str">
        <f>Base_de_dados!A171</f>
        <v>Ad_12</v>
      </c>
      <c r="B171" s="8">
        <f>Base_de_dados!G171/Base_de_dados!F171</f>
        <v>1.9357336430507164E-2</v>
      </c>
      <c r="C171" s="9">
        <f>Base_de_dados!G171/Base_de_dados!H171</f>
        <v>3.4782608695652174E-2</v>
      </c>
      <c r="D171" s="9">
        <f>Base_de_dados!I171*300</f>
        <v>15000</v>
      </c>
      <c r="E171" s="10">
        <f>Base_de_dados!H171/Base_de_dados!I171</f>
        <v>115</v>
      </c>
      <c r="F171" s="11">
        <f>(D171-Base_de_dados!H171)/Base_de_dados!H171</f>
        <v>1.6086956521739131</v>
      </c>
    </row>
    <row r="172" spans="1:6">
      <c r="A172" s="6" t="str">
        <f>Base_de_dados!A172</f>
        <v>Ad_12</v>
      </c>
      <c r="B172" s="8">
        <f>Base_de_dados!G172/Base_de_dados!F172</f>
        <v>1.8162005085361425E-2</v>
      </c>
      <c r="C172" s="9">
        <f>Base_de_dados!G172/Base_de_dados!H172</f>
        <v>3.7688442031135576E-2</v>
      </c>
      <c r="D172" s="9">
        <f>Base_de_dados!I172*300</f>
        <v>15000</v>
      </c>
      <c r="E172" s="10">
        <f>Base_de_dados!H172/Base_de_dados!I172</f>
        <v>79.600000379999997</v>
      </c>
      <c r="F172" s="11">
        <f>(D172-Base_de_dados!H172)/Base_de_dados!H172</f>
        <v>2.7688442031135581</v>
      </c>
    </row>
    <row r="173" spans="1:6">
      <c r="A173" s="6" t="str">
        <f>Base_de_dados!A173</f>
        <v>Ad_12</v>
      </c>
      <c r="B173" s="8">
        <f>Base_de_dados!G173/Base_de_dados!F173</f>
        <v>1.2337555518999836E-2</v>
      </c>
      <c r="C173" s="9">
        <f>Base_de_dados!G173/Base_de_dados!H173</f>
        <v>3.370786571392502E-2</v>
      </c>
      <c r="D173" s="9">
        <f>Base_de_dados!I173*300</f>
        <v>15000</v>
      </c>
      <c r="E173" s="10">
        <f>Base_de_dados!H173/Base_de_dados!I173</f>
        <v>88.999998560000009</v>
      </c>
      <c r="F173" s="11">
        <f>(D173-Base_de_dados!H173)/Base_de_dados!H173</f>
        <v>2.3707865713925016</v>
      </c>
    </row>
    <row r="174" spans="1:6">
      <c r="A174" s="6" t="str">
        <f>Base_de_dados!A174</f>
        <v>Ad_12</v>
      </c>
      <c r="B174" s="8">
        <f>Base_de_dados!G174/Base_de_dados!F174</f>
        <v>8.9293686936333608E-3</v>
      </c>
      <c r="C174" s="9">
        <f>Base_de_dados!G174/Base_de_dados!H174</f>
        <v>3.7313431902985097E-2</v>
      </c>
      <c r="D174" s="9">
        <f>Base_de_dados!I174*300</f>
        <v>15000</v>
      </c>
      <c r="E174" s="10">
        <f>Base_de_dados!H174/Base_de_dados!I174</f>
        <v>53.600001339999999</v>
      </c>
      <c r="F174" s="11">
        <f>(D174-Base_de_dados!H174)/Base_de_dados!H174</f>
        <v>4.5970147854477643</v>
      </c>
    </row>
    <row r="175" spans="1:6">
      <c r="A175" s="6" t="str">
        <f>Base_de_dados!A175</f>
        <v>Ad_12</v>
      </c>
      <c r="B175" s="8">
        <f>Base_de_dados!G175/Base_de_dados!F175</f>
        <v>1.7618040873854827E-2</v>
      </c>
      <c r="C175" s="9">
        <f>Base_de_dados!G175/Base_de_dados!H175</f>
        <v>3.3222591472500305E-2</v>
      </c>
      <c r="D175" s="9">
        <f>Base_de_dados!I175*300</f>
        <v>15000</v>
      </c>
      <c r="E175" s="10">
        <f>Base_de_dados!H175/Base_de_dados!I175</f>
        <v>60.199999799999993</v>
      </c>
      <c r="F175" s="11">
        <f>(D175-Base_de_dados!H175)/Base_de_dados!H175</f>
        <v>3.9833887208750456</v>
      </c>
    </row>
    <row r="176" spans="1:6">
      <c r="A176" s="6" t="str">
        <f>Base_de_dados!A176</f>
        <v>Ad_12</v>
      </c>
      <c r="B176" s="8">
        <f>Base_de_dados!G176/Base_de_dados!F176</f>
        <v>1.0853049706967658E-2</v>
      </c>
      <c r="C176" s="9">
        <f>Base_de_dados!G176/Base_de_dados!H176</f>
        <v>4.3478261776937643E-2</v>
      </c>
      <c r="D176" s="9">
        <f>Base_de_dados!I176*300</f>
        <v>30000</v>
      </c>
      <c r="E176" s="10">
        <f>Base_de_dados!H176/Base_de_dados!I176</f>
        <v>11.499999759999998</v>
      </c>
      <c r="F176" s="11">
        <f>(D176-Base_de_dados!H176)/Base_de_dados!H176</f>
        <v>25.086957066162586</v>
      </c>
    </row>
    <row r="177" spans="1:6">
      <c r="A177" s="6" t="str">
        <f>Base_de_dados!A177</f>
        <v>Ad_12</v>
      </c>
      <c r="B177" s="8">
        <f>Base_de_dados!G177/Base_de_dados!F177</f>
        <v>7.4878322725570948E-3</v>
      </c>
      <c r="C177" s="9">
        <f>Base_de_dados!G177/Base_de_dados!H177</f>
        <v>3.1446540217950257E-2</v>
      </c>
      <c r="D177" s="9">
        <f>Base_de_dados!I177*300</f>
        <v>30000</v>
      </c>
      <c r="E177" s="10">
        <f>Base_de_dados!H177/Base_de_dados!I177</f>
        <v>31.800000669999999</v>
      </c>
      <c r="F177" s="11">
        <f>(D177-Base_de_dados!H177)/Base_de_dados!H177</f>
        <v>8.4339620653850762</v>
      </c>
    </row>
    <row r="178" spans="1:6">
      <c r="A178" s="6" t="str">
        <f>Base_de_dados!A178</f>
        <v>Ad_12</v>
      </c>
      <c r="B178" s="8">
        <f>Base_de_dados!G178/Base_de_dados!F178</f>
        <v>1.790189760114572E-2</v>
      </c>
      <c r="C178" s="9">
        <f>Base_de_dados!G178/Base_de_dados!H178</f>
        <v>5.1020407174094153E-2</v>
      </c>
      <c r="D178" s="9">
        <f>Base_de_dados!I178*300</f>
        <v>30000</v>
      </c>
      <c r="E178" s="10">
        <f>Base_de_dados!H178/Base_de_dados!I178</f>
        <v>9.8000001899999987</v>
      </c>
      <c r="F178" s="11">
        <f>(D178-Base_de_dados!H178)/Base_de_dados!H178</f>
        <v>29.612244304456489</v>
      </c>
    </row>
    <row r="179" spans="1:6">
      <c r="A179" s="6" t="str">
        <f>Base_de_dados!A179</f>
        <v>Ad_12</v>
      </c>
      <c r="B179" s="8">
        <f>Base_de_dados!G179/Base_de_dados!F179</f>
        <v>1.7876296031462281E-2</v>
      </c>
      <c r="C179" s="9">
        <f>Base_de_dados!G179/Base_de_dados!H179</f>
        <v>3.875969106423896E-2</v>
      </c>
      <c r="D179" s="9">
        <f>Base_de_dados!I179*300</f>
        <v>15000</v>
      </c>
      <c r="E179" s="10">
        <f>Base_de_dados!H179/Base_de_dados!I179</f>
        <v>25.799999240000002</v>
      </c>
      <c r="F179" s="11">
        <f>(D179-Base_de_dados!H179)/Base_de_dados!H179</f>
        <v>10.627907319271689</v>
      </c>
    </row>
    <row r="180" spans="1:6">
      <c r="A180" s="6" t="str">
        <f>Base_de_dados!A180</f>
        <v>Ad_12</v>
      </c>
      <c r="B180" s="8">
        <f>Base_de_dados!G180/Base_de_dados!F180</f>
        <v>1.0256410256410256E-2</v>
      </c>
      <c r="C180" s="9">
        <f>Base_de_dados!G180/Base_de_dados!H180</f>
        <v>6.6666666666666666E-2</v>
      </c>
      <c r="D180" s="9">
        <f>Base_de_dados!I180*300</f>
        <v>30000</v>
      </c>
      <c r="E180" s="10">
        <f>Base_de_dados!H180/Base_de_dados!I180</f>
        <v>15</v>
      </c>
      <c r="F180" s="11">
        <f>(D180-Base_de_dados!H180)/Base_de_dados!H180</f>
        <v>19</v>
      </c>
    </row>
    <row r="181" spans="1:6">
      <c r="A181" s="6" t="str">
        <f>Base_de_dados!A181</f>
        <v>Ad_12</v>
      </c>
      <c r="B181" s="8">
        <f>Base_de_dados!G181/Base_de_dados!F181</f>
        <v>1.6507098052162428E-2</v>
      </c>
      <c r="C181" s="9">
        <f>Base_de_dados!G181/Base_de_dados!H181</f>
        <v>4.761904979591846E-2</v>
      </c>
      <c r="D181" s="9">
        <f>Base_de_dados!I181*300</f>
        <v>30000</v>
      </c>
      <c r="E181" s="10">
        <f>Base_de_dados!H181/Base_de_dados!I181</f>
        <v>10.499999520000001</v>
      </c>
      <c r="F181" s="11">
        <f>(D181-Base_de_dados!H181)/Base_de_dados!H181</f>
        <v>27.571429877551079</v>
      </c>
    </row>
    <row r="182" spans="1:6">
      <c r="A182" s="6" t="str">
        <f>Base_de_dados!A182</f>
        <v>Ad_12</v>
      </c>
      <c r="B182" s="8">
        <f>Base_de_dados!G182/Base_de_dados!F182</f>
        <v>1.0579771476936098E-2</v>
      </c>
      <c r="C182" s="9">
        <f>Base_de_dados!G182/Base_de_dados!H182</f>
        <v>2.7322403729582861E-2</v>
      </c>
      <c r="D182" s="9">
        <f>Base_de_dados!I182*300</f>
        <v>30000</v>
      </c>
      <c r="E182" s="10">
        <f>Base_de_dados!H182/Base_de_dados!I182</f>
        <v>18.300000430000001</v>
      </c>
      <c r="F182" s="11">
        <f>(D182-Base_de_dados!H182)/Base_de_dados!H182</f>
        <v>15.393442237749717</v>
      </c>
    </row>
    <row r="183" spans="1:6">
      <c r="A183" s="6" t="str">
        <f>Base_de_dados!A183</f>
        <v>Ad_12</v>
      </c>
      <c r="B183" s="8">
        <f>Base_de_dados!G183/Base_de_dados!F183</f>
        <v>1.3684570646595963E-2</v>
      </c>
      <c r="C183" s="9">
        <f>Base_de_dados!G183/Base_de_dados!H183</f>
        <v>3.3057850196024897E-2</v>
      </c>
      <c r="D183" s="9">
        <f>Base_de_dados!I183*300</f>
        <v>15000</v>
      </c>
      <c r="E183" s="10">
        <f>Base_de_dados!H183/Base_de_dados!I183</f>
        <v>121.00000382</v>
      </c>
      <c r="F183" s="11">
        <f>(D183-Base_de_dados!H183)/Base_de_dados!H183</f>
        <v>1.4793387647018672</v>
      </c>
    </row>
    <row r="184" spans="1:6">
      <c r="A184" s="6" t="str">
        <f>Base_de_dados!A184</f>
        <v>Ad_12</v>
      </c>
      <c r="B184" s="8">
        <f>Base_de_dados!G184/Base_de_dados!F184</f>
        <v>8.7366765682334434E-3</v>
      </c>
      <c r="C184" s="9">
        <f>Base_de_dados!G184/Base_de_dados!H184</f>
        <v>3.2362459201307071E-2</v>
      </c>
      <c r="D184" s="9">
        <f>Base_de_dados!I184*300</f>
        <v>30000</v>
      </c>
      <c r="E184" s="10">
        <f>Base_de_dados!H184/Base_de_dados!I184</f>
        <v>30.900000329999997</v>
      </c>
      <c r="F184" s="11">
        <f>(D184-Base_de_dados!H184)/Base_de_dados!H184</f>
        <v>8.7087377603921219</v>
      </c>
    </row>
    <row r="185" spans="1:6">
      <c r="A185" s="6" t="str">
        <f>Base_de_dados!A185</f>
        <v>Ad_12</v>
      </c>
      <c r="B185" s="8">
        <f>Base_de_dados!G185/Base_de_dados!F185</f>
        <v>1.238083446824316E-2</v>
      </c>
      <c r="C185" s="9">
        <f>Base_de_dados!G185/Base_de_dados!H185</f>
        <v>2.7932961486844991E-2</v>
      </c>
      <c r="D185" s="9">
        <f>Base_de_dados!I185*300</f>
        <v>30000</v>
      </c>
      <c r="E185" s="10">
        <f>Base_de_dados!H185/Base_de_dados!I185</f>
        <v>35.799999240000005</v>
      </c>
      <c r="F185" s="11">
        <f>(D185-Base_de_dados!H185)/Base_de_dados!H185</f>
        <v>7.3798884460534975</v>
      </c>
    </row>
    <row r="186" spans="1:6">
      <c r="A186" s="6" t="str">
        <f>Base_de_dados!A186</f>
        <v>Ad_12</v>
      </c>
      <c r="B186" s="8">
        <f>Base_de_dados!G186/Base_de_dados!F186</f>
        <v>7.7468334818143088E-3</v>
      </c>
      <c r="C186" s="9">
        <f>Base_de_dados!G186/Base_de_dados!H186</f>
        <v>3.3222591466981602E-2</v>
      </c>
      <c r="D186" s="9">
        <f>Base_de_dados!I186*300</f>
        <v>15000</v>
      </c>
      <c r="E186" s="10">
        <f>Base_de_dados!H186/Base_de_dados!I186</f>
        <v>120.39999962</v>
      </c>
      <c r="F186" s="11">
        <f>(D186-Base_de_dados!H186)/Base_de_dados!H186</f>
        <v>1.4916943600236199</v>
      </c>
    </row>
    <row r="187" spans="1:6">
      <c r="A187" s="6" t="str">
        <f>Base_de_dados!A187</f>
        <v>Ad_12</v>
      </c>
      <c r="B187" s="8">
        <f>Base_de_dados!G187/Base_de_dados!F187</f>
        <v>7.7978789769182783E-3</v>
      </c>
      <c r="C187" s="9">
        <f>Base_de_dados!G187/Base_de_dados!H187</f>
        <v>3.6496350231765146E-2</v>
      </c>
      <c r="D187" s="9">
        <f>Base_de_dados!I187*300</f>
        <v>15000</v>
      </c>
      <c r="E187" s="10">
        <f>Base_de_dados!H187/Base_de_dados!I187</f>
        <v>27.400000100000003</v>
      </c>
      <c r="F187" s="11">
        <f>(D187-Base_de_dados!H187)/Base_de_dados!H187</f>
        <v>9.9489050695295429</v>
      </c>
    </row>
    <row r="188" spans="1:6">
      <c r="A188" s="6" t="str">
        <f>Base_de_dados!A188</f>
        <v>Ad_12</v>
      </c>
      <c r="B188" s="8">
        <f>Base_de_dados!G188/Base_de_dados!F188</f>
        <v>1.8292682926829267E-2</v>
      </c>
      <c r="C188" s="9">
        <f>Base_de_dados!G188/Base_de_dados!H188</f>
        <v>3.8265306542195968E-2</v>
      </c>
      <c r="D188" s="9">
        <f>Base_de_dados!I188*300</f>
        <v>15000</v>
      </c>
      <c r="E188" s="10">
        <f>Base_de_dados!H188/Base_de_dados!I188</f>
        <v>78.399999140000006</v>
      </c>
      <c r="F188" s="11">
        <f>(D188-Base_de_dados!H188)/Base_de_dados!H188</f>
        <v>2.8265306542195963</v>
      </c>
    </row>
    <row r="189" spans="1:6">
      <c r="A189" s="6" t="str">
        <f>Base_de_dados!A189</f>
        <v>Ad_12</v>
      </c>
      <c r="B189" s="8">
        <f>Base_de_dados!G189/Base_de_dados!F189</f>
        <v>7.5677311941879828E-3</v>
      </c>
      <c r="C189" s="9">
        <f>Base_de_dados!G189/Base_de_dados!H189</f>
        <v>3.7878786386593269E-2</v>
      </c>
      <c r="D189" s="9">
        <f>Base_de_dados!I189*300</f>
        <v>30000</v>
      </c>
      <c r="E189" s="10">
        <f>Base_de_dados!H189/Base_de_dados!I189</f>
        <v>13.200000519999998</v>
      </c>
      <c r="F189" s="11">
        <f>(D189-Base_de_dados!H189)/Base_de_dados!H189</f>
        <v>21.72727183195596</v>
      </c>
    </row>
    <row r="190" spans="1:6">
      <c r="A190" s="6" t="str">
        <f>Base_de_dados!A190</f>
        <v>Ad_12</v>
      </c>
      <c r="B190" s="8">
        <f>Base_de_dados!G190/Base_de_dados!F190</f>
        <v>1.89897455374098E-2</v>
      </c>
      <c r="C190" s="9">
        <f>Base_de_dados!G190/Base_de_dados!H190</f>
        <v>4.6728969691676246E-2</v>
      </c>
      <c r="D190" s="9">
        <f>Base_de_dados!I190*300</f>
        <v>15000</v>
      </c>
      <c r="E190" s="10">
        <f>Base_de_dados!H190/Base_de_dados!I190</f>
        <v>21.400001039999996</v>
      </c>
      <c r="F190" s="11">
        <f>(D190-Base_de_dados!H190)/Base_de_dados!H190</f>
        <v>13.018690907502874</v>
      </c>
    </row>
    <row r="191" spans="1:6">
      <c r="A191" s="6" t="str">
        <f>Base_de_dados!A191</f>
        <v>Ad_12</v>
      </c>
      <c r="B191" s="8">
        <f>Base_de_dados!G191/Base_de_dados!F191</f>
        <v>1.0052271813429835E-2</v>
      </c>
      <c r="C191" s="9">
        <f>Base_de_dados!G191/Base_de_dados!H191</f>
        <v>3.6764705490376304E-2</v>
      </c>
      <c r="D191" s="9">
        <f>Base_de_dados!I191*300</f>
        <v>30000</v>
      </c>
      <c r="E191" s="10">
        <f>Base_de_dados!H191/Base_de_dados!I191</f>
        <v>27.200000289999998</v>
      </c>
      <c r="F191" s="11">
        <f>(D191-Base_de_dados!H191)/Base_de_dados!H191</f>
        <v>10.029411647112891</v>
      </c>
    </row>
    <row r="192" spans="1:6">
      <c r="A192" s="6" t="str">
        <f>Base_de_dados!A192</f>
        <v>Ad_13</v>
      </c>
      <c r="B192" s="8">
        <f>Base_de_dados!G192/Base_de_dados!F192</f>
        <v>1.4478065730418417E-2</v>
      </c>
      <c r="C192" s="9">
        <f>Base_de_dados!G192/Base_de_dados!H192</f>
        <v>4.2553192141240391E-2</v>
      </c>
      <c r="D192" s="9">
        <f>Base_de_dados!I192*300</f>
        <v>15000</v>
      </c>
      <c r="E192" s="10">
        <f>Base_de_dados!H192/Base_de_dados!I192</f>
        <v>46.999999280000004</v>
      </c>
      <c r="F192" s="11">
        <f>(D192-Base_de_dados!H192)/Base_de_dados!H192</f>
        <v>5.3829788211860583</v>
      </c>
    </row>
    <row r="193" spans="1:6">
      <c r="A193" s="6" t="str">
        <f>Base_de_dados!A193</f>
        <v>Ad_13</v>
      </c>
      <c r="B193" s="8">
        <f>Base_de_dados!G193/Base_de_dados!F193</f>
        <v>1.6651722812860252E-2</v>
      </c>
      <c r="C193" s="9">
        <f>Base_de_dados!G193/Base_de_dados!H193</f>
        <v>3.3626488073429377E-2</v>
      </c>
      <c r="D193" s="9">
        <f>Base_de_dados!I193*300</f>
        <v>15000</v>
      </c>
      <c r="E193" s="10">
        <f>Base_de_dados!H193/Base_de_dados!I193</f>
        <v>386.59999140000002</v>
      </c>
      <c r="F193" s="11">
        <f>(D193-Base_de_dados!H193)/Base_de_dados!H193</f>
        <v>-0.22400412138239897</v>
      </c>
    </row>
    <row r="194" spans="1:6">
      <c r="A194" s="6" t="str">
        <f>Base_de_dados!A194</f>
        <v>Ad_13</v>
      </c>
      <c r="B194" s="8">
        <f>Base_de_dados!G194/Base_de_dados!F194</f>
        <v>1.1332728921124207E-2</v>
      </c>
      <c r="C194" s="9">
        <f>Base_de_dados!G194/Base_de_dados!H194</f>
        <v>3.4482757479191481E-2</v>
      </c>
      <c r="D194" s="9">
        <f>Base_de_dados!I194*300</f>
        <v>15000</v>
      </c>
      <c r="E194" s="10">
        <f>Base_de_dados!H194/Base_de_dados!I194</f>
        <v>29.000000959999998</v>
      </c>
      <c r="F194" s="11">
        <f>(D194-Base_de_dados!H194)/Base_de_dados!H194</f>
        <v>9.3448272437574431</v>
      </c>
    </row>
    <row r="195" spans="1:6">
      <c r="A195" s="6" t="str">
        <f>Base_de_dados!A195</f>
        <v>Ad_13</v>
      </c>
      <c r="B195" s="8">
        <f>Base_de_dados!G195/Base_de_dados!F195</f>
        <v>1.5052684395383844E-2</v>
      </c>
      <c r="C195" s="9">
        <f>Base_de_dados!G195/Base_de_dados!H195</f>
        <v>3.7037036378600841E-2</v>
      </c>
      <c r="D195" s="9">
        <f>Base_de_dados!I195*300</f>
        <v>15000</v>
      </c>
      <c r="E195" s="10">
        <f>Base_de_dados!H195/Base_de_dados!I195</f>
        <v>81.000001439999991</v>
      </c>
      <c r="F195" s="11">
        <f>(D195-Base_de_dados!H195)/Base_de_dados!H195</f>
        <v>2.7037036378600843</v>
      </c>
    </row>
    <row r="196" spans="1:6">
      <c r="A196" s="6" t="str">
        <f>Base_de_dados!A196</f>
        <v>Ad_13</v>
      </c>
      <c r="B196" s="8">
        <f>Base_de_dados!G196/Base_de_dados!F196</f>
        <v>1.6616816218012628E-2</v>
      </c>
      <c r="C196" s="9">
        <f>Base_de_dados!G196/Base_de_dados!H196</f>
        <v>4.1782728020422009E-2</v>
      </c>
      <c r="D196" s="9">
        <f>Base_de_dados!I196*300</f>
        <v>30000</v>
      </c>
      <c r="E196" s="10">
        <f>Base_de_dados!H196/Base_de_dados!I196</f>
        <v>107.70000460000001</v>
      </c>
      <c r="F196" s="11">
        <f>(D196-Base_de_dados!H196)/Base_de_dados!H196</f>
        <v>1.7855152013614672</v>
      </c>
    </row>
    <row r="197" spans="1:6">
      <c r="A197" s="6" t="str">
        <f>Base_de_dados!A197</f>
        <v>Ad_13</v>
      </c>
      <c r="B197" s="8">
        <f>Base_de_dados!G197/Base_de_dados!F197</f>
        <v>9.8848415954134339E-3</v>
      </c>
      <c r="C197" s="9">
        <f>Base_de_dados!G197/Base_de_dados!H197</f>
        <v>3.5778174333799519E-2</v>
      </c>
      <c r="D197" s="9">
        <f>Base_de_dados!I197*300</f>
        <v>45000</v>
      </c>
      <c r="E197" s="10">
        <f>Base_de_dados!H197/Base_de_dados!I197</f>
        <v>37.266667686666665</v>
      </c>
      <c r="F197" s="11">
        <f>(D197-Base_de_dados!H197)/Base_de_dados!H197</f>
        <v>7.0500892251048919</v>
      </c>
    </row>
    <row r="198" spans="1:6">
      <c r="A198" s="6" t="str">
        <f>Base_de_dados!A198</f>
        <v>Ad_13</v>
      </c>
      <c r="B198" s="8">
        <f>Base_de_dados!G198/Base_de_dados!F198</f>
        <v>1.223166778790288E-2</v>
      </c>
      <c r="C198" s="9">
        <f>Base_de_dados!G198/Base_de_dados!H198</f>
        <v>3.0949105680577606E-2</v>
      </c>
      <c r="D198" s="9">
        <f>Base_de_dados!I198*300</f>
        <v>60000</v>
      </c>
      <c r="E198" s="10">
        <f>Base_de_dados!H198/Base_de_dados!I198</f>
        <v>290.80000219999999</v>
      </c>
      <c r="F198" s="11">
        <f>(D198-Base_de_dados!H198)/Base_de_dados!H198</f>
        <v>3.1636856019253562E-2</v>
      </c>
    </row>
    <row r="199" spans="1:6">
      <c r="A199" s="6" t="str">
        <f>Base_de_dados!A199</f>
        <v>Ad_13</v>
      </c>
      <c r="B199" s="8">
        <f>Base_de_dados!G199/Base_de_dados!F199</f>
        <v>1.6155834564254061E-2</v>
      </c>
      <c r="C199" s="9">
        <f>Base_de_dados!G199/Base_de_dados!H199</f>
        <v>3.2956686212809588E-2</v>
      </c>
      <c r="D199" s="9">
        <f>Base_de_dados!I199*300</f>
        <v>30000</v>
      </c>
      <c r="E199" s="10">
        <f>Base_de_dados!H199/Base_de_dados!I199</f>
        <v>106.1999977</v>
      </c>
      <c r="F199" s="11">
        <f>(D199-Base_de_dados!H199)/Base_de_dados!H199</f>
        <v>1.8248588182408216</v>
      </c>
    </row>
    <row r="200" spans="1:6">
      <c r="A200" s="6" t="str">
        <f>Base_de_dados!A200</f>
        <v>Ad_13</v>
      </c>
      <c r="B200" s="8">
        <f>Base_de_dados!G200/Base_de_dados!F200</f>
        <v>2.1949078138718173E-2</v>
      </c>
      <c r="C200" s="9">
        <f>Base_de_dados!G200/Base_de_dados!H200</f>
        <v>3.6630036375102308E-2</v>
      </c>
      <c r="D200" s="9">
        <f>Base_de_dados!I200*300</f>
        <v>30000</v>
      </c>
      <c r="E200" s="10">
        <f>Base_de_dados!H200/Base_de_dados!I200</f>
        <v>54.600000380000004</v>
      </c>
      <c r="F200" s="11">
        <f>(D200-Base_de_dados!H200)/Base_de_dados!H200</f>
        <v>4.4945054562653466</v>
      </c>
    </row>
    <row r="201" spans="1:6">
      <c r="A201" s="6" t="str">
        <f>Base_de_dados!A201</f>
        <v>Ad_13</v>
      </c>
      <c r="B201" s="8">
        <f>Base_de_dados!G201/Base_de_dados!F201</f>
        <v>1.1720924780965218E-2</v>
      </c>
      <c r="C201" s="9">
        <f>Base_de_dados!G201/Base_de_dados!H201</f>
        <v>3.0604437245389877E-2</v>
      </c>
      <c r="D201" s="9">
        <f>Base_de_dados!I201*300</f>
        <v>15000</v>
      </c>
      <c r="E201" s="10">
        <f>Base_de_dados!H201/Base_de_dados!I201</f>
        <v>261.4000034</v>
      </c>
      <c r="F201" s="11">
        <f>(D201-Base_de_dados!H201)/Base_de_dados!H201</f>
        <v>0.14766639670212037</v>
      </c>
    </row>
    <row r="202" spans="1:6">
      <c r="A202" s="6" t="str">
        <f>Base_de_dados!A202</f>
        <v>Ad_13</v>
      </c>
      <c r="B202" s="8">
        <f>Base_de_dados!G202/Base_de_dados!F202</f>
        <v>1.1878096789520124E-2</v>
      </c>
      <c r="C202" s="9">
        <f>Base_de_dados!G202/Base_de_dados!H202</f>
        <v>3.2258065497249917E-2</v>
      </c>
      <c r="D202" s="9">
        <f>Base_de_dados!I202*300</f>
        <v>30000</v>
      </c>
      <c r="E202" s="10">
        <f>Base_de_dados!H202/Base_de_dados!I202</f>
        <v>108.49999670000001</v>
      </c>
      <c r="F202" s="11">
        <f>(D202-Base_de_dados!H202)/Base_de_dados!H202</f>
        <v>1.7649770426214213</v>
      </c>
    </row>
    <row r="203" spans="1:6">
      <c r="A203" s="6" t="str">
        <f>Base_de_dados!A203</f>
        <v>Ad_13</v>
      </c>
      <c r="B203" s="8">
        <f>Base_de_dados!G203/Base_de_dados!F203</f>
        <v>1.1610206661678578E-2</v>
      </c>
      <c r="C203" s="9">
        <f>Base_de_dados!G203/Base_de_dados!H203</f>
        <v>4.1474655639321317E-2</v>
      </c>
      <c r="D203" s="9">
        <f>Base_de_dados!I203*300</f>
        <v>15000</v>
      </c>
      <c r="E203" s="10">
        <f>Base_de_dados!H203/Base_de_dados!I203</f>
        <v>216.99999340000002</v>
      </c>
      <c r="F203" s="11">
        <f>(D203-Base_de_dados!H203)/Base_de_dados!H203</f>
        <v>0.38248852131071065</v>
      </c>
    </row>
    <row r="204" spans="1:6">
      <c r="A204" s="6" t="str">
        <f>Base_de_dados!A204</f>
        <v>Ad_13</v>
      </c>
      <c r="B204" s="8">
        <f>Base_de_dados!G204/Base_de_dados!F204</f>
        <v>1.1984659635666348E-2</v>
      </c>
      <c r="C204" s="9">
        <f>Base_de_dados!G204/Base_de_dados!H204</f>
        <v>4.1459369611313253E-2</v>
      </c>
      <c r="D204" s="9">
        <f>Base_de_dados!I204*300</f>
        <v>30000</v>
      </c>
      <c r="E204" s="10">
        <f>Base_de_dados!H204/Base_de_dados!I204</f>
        <v>120.6000006</v>
      </c>
      <c r="F204" s="11">
        <f>(D204-Base_de_dados!H204)/Base_de_dados!H204</f>
        <v>1.4875621766787952</v>
      </c>
    </row>
    <row r="205" spans="1:6">
      <c r="A205" s="6" t="str">
        <f>Base_de_dados!A205</f>
        <v>Ad_13</v>
      </c>
      <c r="B205" s="8">
        <f>Base_de_dados!G205/Base_de_dados!F205</f>
        <v>1.45143147429152E-2</v>
      </c>
      <c r="C205" s="9">
        <f>Base_de_dados!G205/Base_de_dados!H205</f>
        <v>2.9917726252804786E-2</v>
      </c>
      <c r="D205" s="9">
        <f>Base_de_dados!I205*300</f>
        <v>15000</v>
      </c>
      <c r="E205" s="10">
        <f>Base_de_dados!H205/Base_de_dados!I205</f>
        <v>267.39999999999998</v>
      </c>
      <c r="F205" s="11">
        <f>(D205-Base_de_dados!H205)/Base_de_dados!H205</f>
        <v>0.1219147344801795</v>
      </c>
    </row>
    <row r="206" spans="1:6">
      <c r="A206" s="6" t="str">
        <f>Base_de_dados!A206</f>
        <v>Ad_13</v>
      </c>
      <c r="B206" s="8">
        <f>Base_de_dados!G206/Base_de_dados!F206</f>
        <v>6.1334641805691854E-3</v>
      </c>
      <c r="C206" s="9">
        <f>Base_de_dados!G206/Base_de_dados!H206</f>
        <v>5.0505049994898479E-2</v>
      </c>
      <c r="D206" s="9">
        <f>Base_de_dados!I206*300</f>
        <v>15000</v>
      </c>
      <c r="E206" s="10">
        <f>Base_de_dados!H206/Base_de_dados!I206</f>
        <v>19.800000200000003</v>
      </c>
      <c r="F206" s="11">
        <f>(D206-Base_de_dados!H206)/Base_de_dados!H206</f>
        <v>14.151514998469544</v>
      </c>
    </row>
    <row r="207" spans="1:6">
      <c r="A207" s="6" t="str">
        <f>Base_de_dados!A207</f>
        <v>Ad_13</v>
      </c>
      <c r="B207" s="8">
        <f>Base_de_dados!G207/Base_de_dados!F207</f>
        <v>1.2744493037482225E-2</v>
      </c>
      <c r="C207" s="9">
        <f>Base_de_dados!G207/Base_de_dados!H207</f>
        <v>2.781844794196648E-2</v>
      </c>
      <c r="D207" s="9">
        <f>Base_de_dados!I207*300</f>
        <v>15000</v>
      </c>
      <c r="E207" s="10">
        <f>Base_de_dados!H207/Base_de_dados!I207</f>
        <v>683.00000199999999</v>
      </c>
      <c r="F207" s="11">
        <f>(D207-Base_de_dados!H207)/Base_de_dados!H207</f>
        <v>-0.56076134828473978</v>
      </c>
    </row>
    <row r="208" spans="1:6">
      <c r="A208" s="6" t="str">
        <f>Base_de_dados!A208</f>
        <v>Ad_13</v>
      </c>
      <c r="B208" s="8">
        <f>Base_de_dados!G208/Base_de_dados!F208</f>
        <v>1.4927601134497686E-2</v>
      </c>
      <c r="C208" s="9">
        <f>Base_de_dados!G208/Base_de_dados!H208</f>
        <v>3.2362459201307071E-2</v>
      </c>
      <c r="D208" s="9">
        <f>Base_de_dados!I208*300</f>
        <v>15000</v>
      </c>
      <c r="E208" s="10">
        <f>Base_de_dados!H208/Base_de_dados!I208</f>
        <v>61.800000659999995</v>
      </c>
      <c r="F208" s="11">
        <f>(D208-Base_de_dados!H208)/Base_de_dados!H208</f>
        <v>3.8543688801960605</v>
      </c>
    </row>
    <row r="209" spans="1:6">
      <c r="A209" s="6" t="str">
        <f>Base_de_dados!A209</f>
        <v>Ad_13</v>
      </c>
      <c r="B209" s="8">
        <f>Base_de_dados!G209/Base_de_dados!F209</f>
        <v>1.6791201410460917E-2</v>
      </c>
      <c r="C209" s="9">
        <f>Base_de_dados!G209/Base_de_dados!H209</f>
        <v>5.0505051538108379E-2</v>
      </c>
      <c r="D209" s="9">
        <f>Base_de_dados!I209*300</f>
        <v>15000</v>
      </c>
      <c r="E209" s="10">
        <f>Base_de_dados!H209/Base_de_dados!I209</f>
        <v>79.199998379999997</v>
      </c>
      <c r="F209" s="11">
        <f>(D209-Base_de_dados!H209)/Base_de_dados!H209</f>
        <v>2.7878788653581283</v>
      </c>
    </row>
    <row r="210" spans="1:6">
      <c r="A210" s="6" t="str">
        <f>Base_de_dados!A210</f>
        <v>Ad_13</v>
      </c>
      <c r="B210" s="8">
        <f>Base_de_dados!G210/Base_de_dados!F210</f>
        <v>1.0335703654704813E-2</v>
      </c>
      <c r="C210" s="9">
        <f>Base_de_dados!G210/Base_de_dados!H210</f>
        <v>3.0562347830895332E-2</v>
      </c>
      <c r="D210" s="9">
        <f>Base_de_dados!I210*300</f>
        <v>15000</v>
      </c>
      <c r="E210" s="10">
        <f>Base_de_dados!H210/Base_de_dados!I210</f>
        <v>163.59999655999999</v>
      </c>
      <c r="F210" s="11">
        <f>(D210-Base_de_dados!H210)/Base_de_dados!H210</f>
        <v>0.83374086985371998</v>
      </c>
    </row>
    <row r="211" spans="1:6">
      <c r="A211" s="6" t="str">
        <f>Base_de_dados!A211</f>
        <v>Ad_13</v>
      </c>
      <c r="B211" s="8">
        <f>Base_de_dados!G211/Base_de_dados!F211</f>
        <v>1.8604651162790697E-2</v>
      </c>
      <c r="C211" s="9">
        <f>Base_de_dados!G211/Base_de_dados!H211</f>
        <v>3.7105752313946347E-2</v>
      </c>
      <c r="D211" s="9">
        <f>Base_de_dados!I211*300</f>
        <v>15000</v>
      </c>
      <c r="E211" s="10">
        <f>Base_de_dados!H211/Base_de_dados!I211</f>
        <v>107.79999732</v>
      </c>
      <c r="F211" s="11">
        <f>(D211-Base_de_dados!H211)/Base_de_dados!H211</f>
        <v>1.7829314235459759</v>
      </c>
    </row>
    <row r="212" spans="1:6">
      <c r="A212" s="6" t="str">
        <f>Base_de_dados!A212</f>
        <v>Ad_13</v>
      </c>
      <c r="B212" s="8">
        <f>Base_de_dados!G212/Base_de_dados!F212</f>
        <v>1.8037518037518036E-2</v>
      </c>
      <c r="C212" s="9">
        <f>Base_de_dados!G212/Base_de_dados!H212</f>
        <v>3.2822757592806291E-2</v>
      </c>
      <c r="D212" s="9">
        <f>Base_de_dados!I212*300</f>
        <v>30000</v>
      </c>
      <c r="E212" s="10">
        <f>Base_de_dados!H212/Base_de_dados!I212</f>
        <v>45.699999329999997</v>
      </c>
      <c r="F212" s="11">
        <f>(D212-Base_de_dados!H212)/Base_de_dados!H212</f>
        <v>5.5645515185612586</v>
      </c>
    </row>
    <row r="213" spans="1:6">
      <c r="A213" s="6" t="str">
        <f>Base_de_dados!A213</f>
        <v>Ad_13</v>
      </c>
      <c r="B213" s="8">
        <f>Base_de_dados!G213/Base_de_dados!F213</f>
        <v>1.7259233690024162E-2</v>
      </c>
      <c r="C213" s="9">
        <f>Base_de_dados!G213/Base_de_dados!H213</f>
        <v>4.4052863804847762E-2</v>
      </c>
      <c r="D213" s="9">
        <f>Base_de_dados!I213*300</f>
        <v>15000</v>
      </c>
      <c r="E213" s="10">
        <f>Base_de_dados!H213/Base_de_dados!I213</f>
        <v>45.399999619999996</v>
      </c>
      <c r="F213" s="11">
        <f>(D213-Base_de_dados!H213)/Base_de_dados!H213</f>
        <v>5.6079295707271637</v>
      </c>
    </row>
    <row r="214" spans="1:6">
      <c r="A214" s="6" t="str">
        <f>Base_de_dados!A214</f>
        <v>Ad_13</v>
      </c>
      <c r="B214" s="8">
        <f>Base_de_dados!G214/Base_de_dados!F214</f>
        <v>1.0388531061707874E-2</v>
      </c>
      <c r="C214" s="9">
        <f>Base_de_dados!G214/Base_de_dados!H214</f>
        <v>4.854369068715246E-2</v>
      </c>
      <c r="D214" s="9">
        <f>Base_de_dados!I214*300</f>
        <v>15000</v>
      </c>
      <c r="E214" s="10">
        <f>Base_de_dados!H214/Base_de_dados!I214</f>
        <v>20.59999942</v>
      </c>
      <c r="F214" s="11">
        <f>(D214-Base_de_dados!H214)/Base_de_dados!H214</f>
        <v>13.563107206145737</v>
      </c>
    </row>
    <row r="215" spans="1:6">
      <c r="A215" s="6" t="str">
        <f>Base_de_dados!A215</f>
        <v>Ad_13</v>
      </c>
      <c r="B215" s="8">
        <f>Base_de_dados!G215/Base_de_dados!F215</f>
        <v>1.5243008735416544E-2</v>
      </c>
      <c r="C215" s="9">
        <f>Base_de_dados!G215/Base_de_dados!H215</f>
        <v>3.5981178727002142E-2</v>
      </c>
      <c r="D215" s="9">
        <f>Base_de_dados!I215*300</f>
        <v>15000</v>
      </c>
      <c r="E215" s="10">
        <f>Base_de_dados!H215/Base_de_dados!I215</f>
        <v>722.60000700000001</v>
      </c>
      <c r="F215" s="11">
        <f>(D215-Base_de_dados!H215)/Base_de_dados!H215</f>
        <v>-0.58483255314997529</v>
      </c>
    </row>
    <row r="216" spans="1:6">
      <c r="A216" s="6" t="str">
        <f>Base_de_dados!A216</f>
        <v>Ad_13</v>
      </c>
      <c r="B216" s="8">
        <f>Base_de_dados!G216/Base_de_dados!F216</f>
        <v>8.5631101215961642E-3</v>
      </c>
      <c r="C216" s="9">
        <f>Base_de_dados!G216/Base_de_dados!H216</f>
        <v>3.6496350231765146E-2</v>
      </c>
      <c r="D216" s="9">
        <f>Base_de_dados!I216*300</f>
        <v>15000</v>
      </c>
      <c r="E216" s="10">
        <f>Base_de_dados!H216/Base_de_dados!I216</f>
        <v>27.400000100000003</v>
      </c>
      <c r="F216" s="11">
        <f>(D216-Base_de_dados!H216)/Base_de_dados!H216</f>
        <v>9.9489050695295429</v>
      </c>
    </row>
    <row r="217" spans="1:6">
      <c r="A217" s="6" t="str">
        <f>Base_de_dados!A217</f>
        <v>Ad_13</v>
      </c>
      <c r="B217" s="8">
        <f>Base_de_dados!G217/Base_de_dados!F217</f>
        <v>8.5338795016214365E-3</v>
      </c>
      <c r="C217" s="9">
        <f>Base_de_dados!G217/Base_de_dados!H217</f>
        <v>3.2467533268679391E-2</v>
      </c>
      <c r="D217" s="9">
        <f>Base_de_dados!I217*300</f>
        <v>15000</v>
      </c>
      <c r="E217" s="10">
        <f>Base_de_dados!H217/Base_de_dados!I217</f>
        <v>30.799999240000002</v>
      </c>
      <c r="F217" s="11">
        <f>(D217-Base_de_dados!H217)/Base_de_dados!H217</f>
        <v>8.7402599806038168</v>
      </c>
    </row>
    <row r="218" spans="1:6">
      <c r="A218" s="6" t="str">
        <f>Base_de_dados!A218</f>
        <v>Ad_13</v>
      </c>
      <c r="B218" s="8">
        <f>Base_de_dados!G218/Base_de_dados!F218</f>
        <v>1.2491012564130686E-2</v>
      </c>
      <c r="C218" s="9">
        <f>Base_de_dados!G218/Base_de_dados!H218</f>
        <v>3.470458781833962E-2</v>
      </c>
      <c r="D218" s="9">
        <f>Base_de_dados!I218*300</f>
        <v>15000</v>
      </c>
      <c r="E218" s="10">
        <f>Base_de_dados!H218/Base_de_dados!I218</f>
        <v>1181.3999985999999</v>
      </c>
      <c r="F218" s="11">
        <f>(D218-Base_de_dados!H218)/Base_de_dados!H218</f>
        <v>-0.74606399157312475</v>
      </c>
    </row>
    <row r="219" spans="1:6">
      <c r="A219" s="6" t="str">
        <f>Base_de_dados!A219</f>
        <v>Ad_13</v>
      </c>
      <c r="B219" s="8">
        <f>Base_de_dados!G219/Base_de_dados!F219</f>
        <v>2.0295502516642312E-2</v>
      </c>
      <c r="C219" s="9">
        <f>Base_de_dados!G219/Base_de_dados!H219</f>
        <v>3.9432175704554748E-2</v>
      </c>
      <c r="D219" s="9">
        <f>Base_de_dados!I219*300</f>
        <v>30000</v>
      </c>
      <c r="E219" s="10">
        <f>Base_de_dados!H219/Base_de_dados!I219</f>
        <v>63.400001529999997</v>
      </c>
      <c r="F219" s="11">
        <f>(D219-Base_de_dados!H219)/Base_de_dados!H219</f>
        <v>3.7318610845465701</v>
      </c>
    </row>
    <row r="220" spans="1:6">
      <c r="A220" s="6" t="str">
        <f>Base_de_dados!A220</f>
        <v>Ad_13</v>
      </c>
      <c r="B220" s="8">
        <f>Base_de_dados!G220/Base_de_dados!F220</f>
        <v>2.0444323292899004E-2</v>
      </c>
      <c r="C220" s="9">
        <f>Base_de_dados!G220/Base_de_dados!H220</f>
        <v>3.6764706567185709E-2</v>
      </c>
      <c r="D220" s="9">
        <f>Base_de_dados!I220*300</f>
        <v>15000</v>
      </c>
      <c r="E220" s="10">
        <f>Base_de_dados!H220/Base_de_dados!I220</f>
        <v>81.599998480000011</v>
      </c>
      <c r="F220" s="11">
        <f>(D220-Base_de_dados!H220)/Base_de_dados!H220</f>
        <v>2.6764706567185712</v>
      </c>
    </row>
    <row r="221" spans="1:6">
      <c r="A221" s="6" t="str">
        <f>Base_de_dados!A221</f>
        <v>Ad_13</v>
      </c>
      <c r="B221" s="8">
        <f>Base_de_dados!G221/Base_de_dados!F221</f>
        <v>1.3340448239060833E-2</v>
      </c>
      <c r="C221" s="9">
        <f>Base_de_dados!G221/Base_de_dados!H221</f>
        <v>3.2967031583142188E-2</v>
      </c>
      <c r="D221" s="9">
        <f>Base_de_dados!I221*300</f>
        <v>15000</v>
      </c>
      <c r="E221" s="10">
        <f>Base_de_dados!H221/Base_de_dados!I221</f>
        <v>91.000003820000003</v>
      </c>
      <c r="F221" s="11">
        <f>(D221-Base_de_dados!H221)/Base_de_dados!H221</f>
        <v>2.296703158314219</v>
      </c>
    </row>
    <row r="222" spans="1:6">
      <c r="A222" s="6" t="str">
        <f>Base_de_dados!A222</f>
        <v>Ad_13</v>
      </c>
      <c r="B222" s="8">
        <f>Base_de_dados!G222/Base_de_dados!F222</f>
        <v>1.3001646875270868E-2</v>
      </c>
      <c r="C222" s="9">
        <f>Base_de_dados!G222/Base_de_dados!H222</f>
        <v>3.4883719380746414E-2</v>
      </c>
      <c r="D222" s="9">
        <f>Base_de_dados!I222*300</f>
        <v>15000</v>
      </c>
      <c r="E222" s="10">
        <f>Base_de_dados!H222/Base_de_dados!I222</f>
        <v>86.000003820000003</v>
      </c>
      <c r="F222" s="11">
        <f>(D222-Base_de_dados!H222)/Base_de_dados!H222</f>
        <v>2.4883719380746419</v>
      </c>
    </row>
    <row r="223" spans="1:6">
      <c r="A223" s="6" t="str">
        <f>Base_de_dados!A223</f>
        <v>Ad_13</v>
      </c>
      <c r="B223" s="8">
        <f>Base_de_dados!G223/Base_de_dados!F223</f>
        <v>1.2312238364934745E-2</v>
      </c>
      <c r="C223" s="9">
        <f>Base_de_dados!G223/Base_de_dados!H223</f>
        <v>5.2264809363959761E-2</v>
      </c>
      <c r="D223" s="9">
        <f>Base_de_dados!I223*300</f>
        <v>15000</v>
      </c>
      <c r="E223" s="10">
        <f>Base_de_dados!H223/Base_de_dados!I223</f>
        <v>57.3999989</v>
      </c>
      <c r="F223" s="11">
        <f>(D223-Base_de_dados!H223)/Base_de_dados!H223</f>
        <v>4.2264809363959763</v>
      </c>
    </row>
    <row r="224" spans="1:6">
      <c r="A224" s="6" t="str">
        <f>Base_de_dados!A224</f>
        <v>Ad_13</v>
      </c>
      <c r="B224" s="8">
        <f>Base_de_dados!G224/Base_de_dados!F224</f>
        <v>1.5878056525881232E-2</v>
      </c>
      <c r="C224" s="9">
        <f>Base_de_dados!G224/Base_de_dados!H224</f>
        <v>3.3783783350073052E-2</v>
      </c>
      <c r="D224" s="9">
        <f>Base_de_dados!I224*300</f>
        <v>15000</v>
      </c>
      <c r="E224" s="10">
        <f>Base_de_dados!H224/Base_de_dados!I224</f>
        <v>29.600000380000001</v>
      </c>
      <c r="F224" s="11">
        <f>(D224-Base_de_dados!H224)/Base_de_dados!H224</f>
        <v>9.1351350050219153</v>
      </c>
    </row>
    <row r="225" spans="1:6">
      <c r="A225" s="6" t="str">
        <f>Base_de_dados!A225</f>
        <v>Ad_13</v>
      </c>
      <c r="B225" s="8">
        <f>Base_de_dados!G225/Base_de_dados!F225</f>
        <v>1.4200007100003549E-2</v>
      </c>
      <c r="C225" s="9">
        <f>Base_de_dados!G225/Base_de_dados!H225</f>
        <v>3.2336297781486882E-2</v>
      </c>
      <c r="D225" s="9">
        <f>Base_de_dados!I225*300</f>
        <v>30000</v>
      </c>
      <c r="E225" s="10">
        <f>Base_de_dados!H225/Base_de_dados!I225</f>
        <v>123.69999890000001</v>
      </c>
      <c r="F225" s="11">
        <f>(D225-Base_de_dados!H225)/Base_de_dados!H225</f>
        <v>1.4252223336115162</v>
      </c>
    </row>
    <row r="226" spans="1:6">
      <c r="A226" s="6" t="str">
        <f>Base_de_dados!A226</f>
        <v>Ad_14</v>
      </c>
      <c r="B226" s="8">
        <f>Base_de_dados!G226/Base_de_dados!F226</f>
        <v>1.2971851083149565E-2</v>
      </c>
      <c r="C226" s="9">
        <f>Base_de_dados!G226/Base_de_dados!H226</f>
        <v>7.5757572773186538E-2</v>
      </c>
      <c r="D226" s="9">
        <f>Base_de_dados!I226*300</f>
        <v>30000</v>
      </c>
      <c r="E226" s="10">
        <f>Base_de_dados!H226/Base_de_dados!I226</f>
        <v>13.200000519999998</v>
      </c>
      <c r="F226" s="11">
        <f>(D226-Base_de_dados!H226)/Base_de_dados!H226</f>
        <v>21.72727183195596</v>
      </c>
    </row>
    <row r="227" spans="1:6">
      <c r="A227" s="6" t="str">
        <f>Base_de_dados!A227</f>
        <v>Ad_14</v>
      </c>
      <c r="B227" s="8">
        <f>Base_de_dados!G227/Base_de_dados!F227</f>
        <v>2.3277467411545624E-2</v>
      </c>
      <c r="C227" s="9">
        <f>Base_de_dados!G227/Base_de_dados!H227</f>
        <v>3.1645568759013004E-2</v>
      </c>
      <c r="D227" s="9">
        <f>Base_de_dados!I227*300</f>
        <v>30000</v>
      </c>
      <c r="E227" s="10">
        <f>Base_de_dados!H227/Base_de_dados!I227</f>
        <v>15.800000430000001</v>
      </c>
      <c r="F227" s="11">
        <f>(D227-Base_de_dados!H227)/Base_de_dados!H227</f>
        <v>17.987341255407802</v>
      </c>
    </row>
    <row r="228" spans="1:6">
      <c r="A228" s="6" t="str">
        <f>Base_de_dados!A228</f>
        <v>Ad_14</v>
      </c>
      <c r="B228" s="8">
        <f>Base_de_dados!G228/Base_de_dados!F228</f>
        <v>2.4900398406374501E-2</v>
      </c>
      <c r="C228" s="9">
        <f>Base_de_dados!G228/Base_de_dados!H228</f>
        <v>6.7567565330533305E-2</v>
      </c>
      <c r="D228" s="9">
        <f>Base_de_dados!I228*300</f>
        <v>30000</v>
      </c>
      <c r="E228" s="10">
        <f>Base_de_dados!H228/Base_de_dados!I228</f>
        <v>14.80000049</v>
      </c>
      <c r="F228" s="11">
        <f>(D228-Base_de_dados!H228)/Base_de_dados!H228</f>
        <v>19.270269599159995</v>
      </c>
    </row>
    <row r="229" spans="1:6">
      <c r="A229" s="6" t="str">
        <f>Base_de_dados!A229</f>
        <v>Ad_14</v>
      </c>
      <c r="B229" s="8">
        <f>Base_de_dados!G229/Base_de_dados!F229</f>
        <v>1.0105773765411306E-2</v>
      </c>
      <c r="C229" s="9">
        <f>Base_de_dados!G229/Base_de_dados!H229</f>
        <v>5.1020409239205908E-2</v>
      </c>
      <c r="D229" s="9">
        <f>Base_de_dados!I229*300</f>
        <v>30000</v>
      </c>
      <c r="E229" s="10">
        <f>Base_de_dados!H229/Base_de_dados!I229</f>
        <v>29.399999380000001</v>
      </c>
      <c r="F229" s="11">
        <f>(D229-Base_de_dados!H229)/Base_de_dados!H229</f>
        <v>9.2040818478411826</v>
      </c>
    </row>
    <row r="230" spans="1:6">
      <c r="A230" s="6" t="str">
        <f>Base_de_dados!A230</f>
        <v>Ad_14</v>
      </c>
      <c r="B230" s="8">
        <f>Base_de_dados!G230/Base_de_dados!F230</f>
        <v>9.1240875912408752E-3</v>
      </c>
      <c r="C230" s="9">
        <f>Base_de_dados!G230/Base_de_dados!H230</f>
        <v>3.4602074867398663E-2</v>
      </c>
      <c r="D230" s="9">
        <f>Base_de_dados!I230*300</f>
        <v>15000</v>
      </c>
      <c r="E230" s="10">
        <f>Base_de_dados!H230/Base_de_dados!I230</f>
        <v>57.8000021</v>
      </c>
      <c r="F230" s="11">
        <f>(D230-Base_de_dados!H230)/Base_de_dados!H230</f>
        <v>4.1903112301098</v>
      </c>
    </row>
    <row r="231" spans="1:6">
      <c r="A231" s="6" t="str">
        <f>Base_de_dados!A231</f>
        <v>Ad_14</v>
      </c>
      <c r="B231" s="8">
        <f>Base_de_dados!G231/Base_de_dados!F231</f>
        <v>1.4192449616803861E-2</v>
      </c>
      <c r="C231" s="9">
        <f>Base_de_dados!G231/Base_de_dados!H231</f>
        <v>2.7624310262202037E-2</v>
      </c>
      <c r="D231" s="9">
        <f>Base_de_dados!I231*300</f>
        <v>30000</v>
      </c>
      <c r="E231" s="10">
        <f>Base_de_dados!H231/Base_de_dados!I231</f>
        <v>18.09999943</v>
      </c>
      <c r="F231" s="11">
        <f>(D231-Base_de_dados!H231)/Base_de_dados!H231</f>
        <v>15.574586157321223</v>
      </c>
    </row>
    <row r="232" spans="1:6">
      <c r="A232" s="6" t="str">
        <f>Base_de_dados!A232</f>
        <v>Ad_14</v>
      </c>
      <c r="B232" s="8">
        <f>Base_de_dados!G232/Base_de_dados!F232</f>
        <v>5.3450211128333956E-3</v>
      </c>
      <c r="C232" s="9">
        <f>Base_de_dados!G232/Base_de_dados!H232</f>
        <v>3.0120482535563955E-2</v>
      </c>
      <c r="D232" s="9">
        <f>Base_de_dados!I232*300</f>
        <v>15000</v>
      </c>
      <c r="E232" s="10">
        <f>Base_de_dados!H232/Base_de_dados!I232</f>
        <v>66.399998659999994</v>
      </c>
      <c r="F232" s="11">
        <f>(D232-Base_de_dados!H232)/Base_de_dados!H232</f>
        <v>3.5180723803345932</v>
      </c>
    </row>
    <row r="233" spans="1:6">
      <c r="A233" s="6" t="str">
        <f>Base_de_dados!A233</f>
        <v>Ad_14</v>
      </c>
      <c r="B233" s="8">
        <f>Base_de_dados!G233/Base_de_dados!F233</f>
        <v>2.0169423154497781E-2</v>
      </c>
      <c r="C233" s="9">
        <f>Base_de_dados!G233/Base_de_dados!H233</f>
        <v>3.9682539997480476E-2</v>
      </c>
      <c r="D233" s="9">
        <f>Base_de_dados!I233*300</f>
        <v>15000</v>
      </c>
      <c r="E233" s="10">
        <f>Base_de_dados!H233/Base_de_dados!I233</f>
        <v>25.199999800000001</v>
      </c>
      <c r="F233" s="11">
        <f>(D233-Base_de_dados!H233)/Base_de_dados!H233</f>
        <v>10.904761999244142</v>
      </c>
    </row>
    <row r="234" spans="1:6">
      <c r="A234" s="6" t="str">
        <f>Base_de_dados!A234</f>
        <v>Ad_14</v>
      </c>
      <c r="B234" s="8">
        <f>Base_de_dados!G234/Base_de_dados!F234</f>
        <v>2.6232948583420776E-2</v>
      </c>
      <c r="C234" s="9">
        <f>Base_de_dados!G234/Base_de_dados!H234</f>
        <v>3.2786885761891975E-2</v>
      </c>
      <c r="D234" s="9">
        <f>Base_de_dados!I234*300</f>
        <v>15000</v>
      </c>
      <c r="E234" s="10">
        <f>Base_de_dados!H234/Base_de_dados!I234</f>
        <v>60.999999039999992</v>
      </c>
      <c r="F234" s="11">
        <f>(D234-Base_de_dados!H234)/Base_de_dados!H234</f>
        <v>3.9180328642837963</v>
      </c>
    </row>
    <row r="235" spans="1:6">
      <c r="A235" s="6" t="str">
        <f>Base_de_dados!A235</f>
        <v>Ad_14</v>
      </c>
      <c r="B235" s="8">
        <f>Base_de_dados!G235/Base_de_dados!F235</f>
        <v>1.618646811265782E-2</v>
      </c>
      <c r="C235" s="9">
        <f>Base_de_dados!G235/Base_de_dados!H235</f>
        <v>3.1847133905026574E-2</v>
      </c>
      <c r="D235" s="9">
        <f>Base_de_dados!I235*300</f>
        <v>15000</v>
      </c>
      <c r="E235" s="10">
        <f>Base_de_dados!H235/Base_de_dados!I235</f>
        <v>125.59999941999999</v>
      </c>
      <c r="F235" s="11">
        <f>(D235-Base_de_dados!H235)/Base_de_dados!H235</f>
        <v>1.3885350428769934</v>
      </c>
    </row>
    <row r="236" spans="1:6">
      <c r="A236" s="6" t="str">
        <f>Base_de_dados!A236</f>
        <v>Ad_14</v>
      </c>
      <c r="B236" s="8">
        <f>Base_de_dados!G236/Base_de_dados!F236</f>
        <v>1.429551692589204E-2</v>
      </c>
      <c r="C236" s="9">
        <f>Base_de_dados!G236/Base_de_dados!H236</f>
        <v>3.2383420070840829E-2</v>
      </c>
      <c r="D236" s="9">
        <f>Base_de_dados!I236*300</f>
        <v>15000</v>
      </c>
      <c r="E236" s="10">
        <f>Base_de_dados!H236/Base_de_dados!I236</f>
        <v>154.39999818000001</v>
      </c>
      <c r="F236" s="11">
        <f>(D236-Base_de_dados!H236)/Base_de_dados!H236</f>
        <v>0.94300520425044987</v>
      </c>
    </row>
    <row r="237" spans="1:6">
      <c r="A237" s="6" t="str">
        <f>Base_de_dados!A237</f>
        <v>Ad_14</v>
      </c>
      <c r="B237" s="8">
        <f>Base_de_dados!G237/Base_de_dados!F237</f>
        <v>1.3283740701381509E-2</v>
      </c>
      <c r="C237" s="9">
        <f>Base_de_dados!G237/Base_de_dados!H237</f>
        <v>2.782931423545976E-2</v>
      </c>
      <c r="D237" s="9">
        <f>Base_de_dados!I237*300</f>
        <v>30000</v>
      </c>
      <c r="E237" s="10">
        <f>Base_de_dados!H237/Base_de_dados!I237</f>
        <v>53.899998660000001</v>
      </c>
      <c r="F237" s="11">
        <f>(D237-Base_de_dados!H237)/Base_de_dados!H237</f>
        <v>4.5658628470919522</v>
      </c>
    </row>
    <row r="238" spans="1:6">
      <c r="A238" s="6" t="str">
        <f>Base_de_dados!A238</f>
        <v>Ad_14</v>
      </c>
      <c r="B238" s="8">
        <f>Base_de_dados!G238/Base_de_dados!F238</f>
        <v>1.0202520022445543E-2</v>
      </c>
      <c r="C238" s="9">
        <f>Base_de_dados!G238/Base_de_dados!H238</f>
        <v>3.7878788086834259E-2</v>
      </c>
      <c r="D238" s="9">
        <f>Base_de_dados!I238*300</f>
        <v>30000</v>
      </c>
      <c r="E238" s="10">
        <f>Base_de_dados!H238/Base_de_dados!I238</f>
        <v>52.799999709999994</v>
      </c>
      <c r="F238" s="11">
        <f>(D238-Base_de_dados!H238)/Base_de_dados!H238</f>
        <v>4.6818182130251387</v>
      </c>
    </row>
    <row r="239" spans="1:6">
      <c r="A239" s="6" t="str">
        <f>Base_de_dados!A239</f>
        <v>Ad_14</v>
      </c>
      <c r="B239" s="8">
        <f>Base_de_dados!G239/Base_de_dados!F239</f>
        <v>1.6409583196586808E-2</v>
      </c>
      <c r="C239" s="9">
        <f>Base_de_dados!G239/Base_de_dados!H239</f>
        <v>3.6231884189245958E-2</v>
      </c>
      <c r="D239" s="9">
        <f>Base_de_dados!I239*300</f>
        <v>15000</v>
      </c>
      <c r="E239" s="10">
        <f>Base_de_dados!H239/Base_de_dados!I239</f>
        <v>27.599999899999997</v>
      </c>
      <c r="F239" s="11">
        <f>(D239-Base_de_dados!H239)/Base_de_dados!H239</f>
        <v>9.8695652567737877</v>
      </c>
    </row>
    <row r="240" spans="1:6">
      <c r="A240" s="6" t="str">
        <f>Base_de_dados!A240</f>
        <v>Ad_14</v>
      </c>
      <c r="B240" s="8">
        <f>Base_de_dados!G240/Base_de_dados!F240</f>
        <v>1.787447014963485E-2</v>
      </c>
      <c r="C240" s="9">
        <f>Base_de_dados!G240/Base_de_dados!H240</f>
        <v>3.3557047526816687E-2</v>
      </c>
      <c r="D240" s="9">
        <f>Base_de_dados!I240*300</f>
        <v>30000</v>
      </c>
      <c r="E240" s="10">
        <f>Base_de_dados!H240/Base_de_dados!I240</f>
        <v>104.29999830000001</v>
      </c>
      <c r="F240" s="11">
        <f>(D240-Base_de_dados!H240)/Base_de_dados!H240</f>
        <v>1.8763183594414303</v>
      </c>
    </row>
    <row r="241" spans="1:6">
      <c r="A241" s="6" t="str">
        <f>Base_de_dados!A241</f>
        <v>Ad_14</v>
      </c>
      <c r="B241" s="8">
        <f>Base_de_dados!G241/Base_de_dados!F241</f>
        <v>8.414321174639236E-3</v>
      </c>
      <c r="C241" s="9">
        <f>Base_de_dados!G241/Base_de_dados!H241</f>
        <v>3.316749666812429E-2</v>
      </c>
      <c r="D241" s="9">
        <f>Base_de_dados!I241*300</f>
        <v>15000</v>
      </c>
      <c r="E241" s="10">
        <f>Base_de_dados!H241/Base_de_dados!I241</f>
        <v>120.59999704000002</v>
      </c>
      <c r="F241" s="11">
        <f>(D241-Base_de_dados!H241)/Base_de_dados!H241</f>
        <v>1.487562250109322</v>
      </c>
    </row>
    <row r="242" spans="1:6">
      <c r="A242" s="6" t="str">
        <f>Base_de_dados!A242</f>
        <v>Ad_14</v>
      </c>
      <c r="B242" s="8">
        <f>Base_de_dados!G242/Base_de_dados!F242</f>
        <v>9.9108027750247768E-3</v>
      </c>
      <c r="C242" s="9">
        <f>Base_de_dados!G242/Base_de_dados!H242</f>
        <v>3.7735847703809229E-2</v>
      </c>
      <c r="D242" s="9">
        <f>Base_de_dados!I242*300</f>
        <v>30000</v>
      </c>
      <c r="E242" s="10">
        <f>Base_de_dados!H242/Base_de_dados!I242</f>
        <v>26.500000950000004</v>
      </c>
      <c r="F242" s="11">
        <f>(D242-Base_de_dados!H242)/Base_de_dados!H242</f>
        <v>10.320754311142769</v>
      </c>
    </row>
    <row r="243" spans="1:6">
      <c r="A243" s="6" t="str">
        <f>Base_de_dados!A243</f>
        <v>Ad_14</v>
      </c>
      <c r="B243" s="8">
        <f>Base_de_dados!G243/Base_de_dados!F243</f>
        <v>2.054442732408834E-2</v>
      </c>
      <c r="C243" s="9">
        <f>Base_de_dados!G243/Base_de_dados!H243</f>
        <v>4.8426148784362973E-2</v>
      </c>
      <c r="D243" s="9">
        <f>Base_de_dados!I243*300</f>
        <v>30000</v>
      </c>
      <c r="E243" s="10">
        <f>Base_de_dados!H243/Base_de_dados!I243</f>
        <v>41.300001139999992</v>
      </c>
      <c r="F243" s="11">
        <f>(D243-Base_de_dados!H243)/Base_de_dados!H243</f>
        <v>6.2639223176544458</v>
      </c>
    </row>
    <row r="244" spans="1:6">
      <c r="A244" s="6" t="str">
        <f>Base_de_dados!A244</f>
        <v>Ad_14</v>
      </c>
      <c r="B244" s="8">
        <f>Base_de_dados!G244/Base_de_dados!F244</f>
        <v>4.2247570764681032E-2</v>
      </c>
      <c r="C244" s="9">
        <f>Base_de_dados!G244/Base_de_dados!H244</f>
        <v>3.5211268671890533E-2</v>
      </c>
      <c r="D244" s="9">
        <f>Base_de_dados!I244*300</f>
        <v>30000</v>
      </c>
      <c r="E244" s="10">
        <f>Base_de_dados!H244/Base_de_dados!I244</f>
        <v>28.399999139999998</v>
      </c>
      <c r="F244" s="11">
        <f>(D244-Base_de_dados!H244)/Base_de_dados!H244</f>
        <v>9.5633806015671592</v>
      </c>
    </row>
    <row r="245" spans="1:6">
      <c r="A245" s="6" t="str">
        <f>Base_de_dados!A245</f>
        <v>Ad_14</v>
      </c>
      <c r="B245" s="8">
        <f>Base_de_dados!G245/Base_de_dados!F245</f>
        <v>2.6539278131634821E-2</v>
      </c>
      <c r="C245" s="9">
        <f>Base_de_dados!G245/Base_de_dados!H245</f>
        <v>3.5460993737739574E-2</v>
      </c>
      <c r="D245" s="9">
        <f>Base_de_dados!I245*300</f>
        <v>15000</v>
      </c>
      <c r="E245" s="10">
        <f>Base_de_dados!H245/Base_de_dados!I245</f>
        <v>28.199999339999998</v>
      </c>
      <c r="F245" s="11">
        <f>(D245-Base_de_dados!H245)/Base_de_dados!H245</f>
        <v>9.6382981213218706</v>
      </c>
    </row>
    <row r="246" spans="1:6">
      <c r="A246" s="6" t="str">
        <f>Base_de_dados!A246</f>
        <v>Ad_14</v>
      </c>
      <c r="B246" s="8">
        <f>Base_de_dados!G246/Base_de_dados!F246</f>
        <v>1.6852039096730706E-2</v>
      </c>
      <c r="C246" s="9">
        <f>Base_de_dados!G246/Base_de_dados!H246</f>
        <v>3.3333333333333333E-2</v>
      </c>
      <c r="D246" s="9">
        <f>Base_de_dados!I246*300</f>
        <v>30000</v>
      </c>
      <c r="E246" s="10">
        <f>Base_de_dados!H246/Base_de_dados!I246</f>
        <v>15</v>
      </c>
      <c r="F246" s="11">
        <f>(D246-Base_de_dados!H246)/Base_de_dados!H246</f>
        <v>19</v>
      </c>
    </row>
    <row r="247" spans="1:6">
      <c r="A247" s="6" t="str">
        <f>Base_de_dados!A247</f>
        <v>Ad_15</v>
      </c>
      <c r="B247" s="8">
        <f>Base_de_dados!G247/Base_de_dados!F247</f>
        <v>1.5617785262242986E-2</v>
      </c>
      <c r="C247" s="9">
        <f>Base_de_dados!G247/Base_de_dados!H247</f>
        <v>3.4869618182877989E-2</v>
      </c>
      <c r="D247" s="9">
        <f>Base_de_dados!I247*300</f>
        <v>15000</v>
      </c>
      <c r="E247" s="10">
        <f>Base_de_dados!H247/Base_de_dados!I247</f>
        <v>659.59999559999994</v>
      </c>
      <c r="F247" s="11">
        <f>(D247-Base_de_dados!H247)/Base_de_dados!H247</f>
        <v>-0.5451788932668088</v>
      </c>
    </row>
    <row r="248" spans="1:6">
      <c r="A248" s="6" t="str">
        <f>Base_de_dados!A248</f>
        <v>Ad_15</v>
      </c>
      <c r="B248" s="8">
        <f>Base_de_dados!G248/Base_de_dados!F248</f>
        <v>1.4345555746829632E-2</v>
      </c>
      <c r="C248" s="9">
        <f>Base_de_dados!G248/Base_de_dados!H248</f>
        <v>3.195909288268256E-2</v>
      </c>
      <c r="D248" s="9">
        <f>Base_de_dados!I248*300</f>
        <v>15000</v>
      </c>
      <c r="E248" s="10">
        <f>Base_de_dados!H248/Base_de_dados!I248</f>
        <v>625.79998979999993</v>
      </c>
      <c r="F248" s="11">
        <f>(D248-Base_de_dados!H248)/Base_de_dados!H248</f>
        <v>-0.52061360675976154</v>
      </c>
    </row>
    <row r="249" spans="1:6">
      <c r="A249" s="6" t="str">
        <f>Base_de_dados!A249</f>
        <v>Ad_15</v>
      </c>
      <c r="B249" s="8">
        <f>Base_de_dados!G249/Base_de_dados!F249</f>
        <v>2.1042295012976081E-2</v>
      </c>
      <c r="C249" s="9">
        <f>Base_de_dados!G249/Base_de_dados!H249</f>
        <v>3.4129692980310392E-2</v>
      </c>
      <c r="D249" s="9">
        <f>Base_de_dados!I249*300</f>
        <v>15000</v>
      </c>
      <c r="E249" s="10">
        <f>Base_de_dados!H249/Base_de_dados!I249</f>
        <v>175.79999924000001</v>
      </c>
      <c r="F249" s="11">
        <f>(D249-Base_de_dados!H249)/Base_de_dados!H249</f>
        <v>0.70648464901551955</v>
      </c>
    </row>
    <row r="250" spans="1:6">
      <c r="A250" s="6" t="str">
        <f>Base_de_dados!A250</f>
        <v>Ad_15</v>
      </c>
      <c r="B250" s="8">
        <f>Base_de_dados!G250/Base_de_dados!F250</f>
        <v>1.2277772320990079E-2</v>
      </c>
      <c r="C250" s="9">
        <f>Base_de_dados!G250/Base_de_dados!H250</f>
        <v>2.7412281044407901E-2</v>
      </c>
      <c r="D250" s="9">
        <f>Base_de_dados!I250*300</f>
        <v>30000</v>
      </c>
      <c r="E250" s="10">
        <f>Base_de_dados!H250/Base_de_dados!I250</f>
        <v>91.199998859999994</v>
      </c>
      <c r="F250" s="11">
        <f>(D250-Base_de_dados!H250)/Base_de_dados!H250</f>
        <v>2.2894737253289481</v>
      </c>
    </row>
    <row r="251" spans="1:6">
      <c r="A251" s="6" t="str">
        <f>Base_de_dados!A251</f>
        <v>Ad_15</v>
      </c>
      <c r="B251" s="8">
        <f>Base_de_dados!G251/Base_de_dados!F251</f>
        <v>1.6373311502251329E-2</v>
      </c>
      <c r="C251" s="9">
        <f>Base_de_dados!G251/Base_de_dados!H251</f>
        <v>3.1948881227735315E-2</v>
      </c>
      <c r="D251" s="9">
        <f>Base_de_dados!I251*300</f>
        <v>15000</v>
      </c>
      <c r="E251" s="10">
        <f>Base_de_dados!H251/Base_de_dados!I251</f>
        <v>125.2000022</v>
      </c>
      <c r="F251" s="11">
        <f>(D251-Base_de_dados!H251)/Base_de_dados!H251</f>
        <v>1.3961660920801484</v>
      </c>
    </row>
    <row r="252" spans="1:6">
      <c r="A252" s="6" t="str">
        <f>Base_de_dados!A252</f>
        <v>Ad_15</v>
      </c>
      <c r="B252" s="8">
        <f>Base_de_dados!G252/Base_de_dados!F252</f>
        <v>1.6391139418348709E-2</v>
      </c>
      <c r="C252" s="9">
        <f>Base_de_dados!G252/Base_de_dados!H252</f>
        <v>3.62318840673478E-2</v>
      </c>
      <c r="D252" s="9">
        <f>Base_de_dados!I252*300</f>
        <v>45000</v>
      </c>
      <c r="E252" s="10">
        <f>Base_de_dados!H252/Base_de_dados!I252</f>
        <v>257.59999993333332</v>
      </c>
      <c r="F252" s="11">
        <f>(D252-Base_de_dados!H252)/Base_de_dados!H252</f>
        <v>0.16459627359332213</v>
      </c>
    </row>
    <row r="253" spans="1:6">
      <c r="A253" s="6" t="str">
        <f>Base_de_dados!A253</f>
        <v>Ad_15</v>
      </c>
      <c r="B253" s="8">
        <f>Base_de_dados!G253/Base_de_dados!F253</f>
        <v>1.6251354279523293E-2</v>
      </c>
      <c r="C253" s="9">
        <f>Base_de_dados!G253/Base_de_dados!H253</f>
        <v>3.716551071943195E-2</v>
      </c>
      <c r="D253" s="9">
        <f>Base_de_dados!I253*300</f>
        <v>30000</v>
      </c>
      <c r="E253" s="10">
        <f>Base_de_dados!H253/Base_de_dados!I253</f>
        <v>201.7999983</v>
      </c>
      <c r="F253" s="11">
        <f>(D253-Base_de_dados!H253)/Base_de_dados!H253</f>
        <v>0.48662042877727807</v>
      </c>
    </row>
    <row r="254" spans="1:6">
      <c r="A254" s="6" t="str">
        <f>Base_de_dados!A254</f>
        <v>Ad_15</v>
      </c>
      <c r="B254" s="8">
        <f>Base_de_dados!G254/Base_de_dados!F254</f>
        <v>1.1745146520702845E-2</v>
      </c>
      <c r="C254" s="9">
        <f>Base_de_dados!G254/Base_de_dados!H254</f>
        <v>3.2883547316204555E-2</v>
      </c>
      <c r="D254" s="9">
        <f>Base_de_dados!I254*300</f>
        <v>75000</v>
      </c>
      <c r="E254" s="10">
        <f>Base_de_dados!H254/Base_de_dados!I254</f>
        <v>705.51999079999996</v>
      </c>
      <c r="F254" s="11">
        <f>(D254-Base_de_dados!H254)/Base_de_dados!H254</f>
        <v>-0.57478171573873416</v>
      </c>
    </row>
    <row r="255" spans="1:6">
      <c r="A255" s="6" t="str">
        <f>Base_de_dados!A255</f>
        <v>Ad_15</v>
      </c>
      <c r="B255" s="8">
        <f>Base_de_dados!G255/Base_de_dados!F255</f>
        <v>1.4672158763626089E-2</v>
      </c>
      <c r="C255" s="9">
        <f>Base_de_dados!G255/Base_de_dados!H255</f>
        <v>3.9255597032347343E-2</v>
      </c>
      <c r="D255" s="9">
        <f>Base_de_dados!I255*300</f>
        <v>45000</v>
      </c>
      <c r="E255" s="10">
        <f>Base_de_dados!H255/Base_de_dados!I255</f>
        <v>229.26666973333334</v>
      </c>
      <c r="F255" s="11">
        <f>(D255-Base_de_dados!H255)/Base_de_dados!H255</f>
        <v>0.3085199010782449</v>
      </c>
    </row>
    <row r="256" spans="1:6">
      <c r="A256" s="6" t="str">
        <f>Base_de_dados!A256</f>
        <v>Ad_15</v>
      </c>
      <c r="B256" s="8">
        <f>Base_de_dados!G256/Base_de_dados!F256</f>
        <v>1.5436863229391787E-2</v>
      </c>
      <c r="C256" s="9">
        <f>Base_de_dados!G256/Base_de_dados!H256</f>
        <v>3.6429872429089488E-2</v>
      </c>
      <c r="D256" s="9">
        <f>Base_de_dados!I256*300</f>
        <v>30000</v>
      </c>
      <c r="E256" s="10">
        <f>Base_de_dados!H256/Base_de_dados!I256</f>
        <v>54.9000001</v>
      </c>
      <c r="F256" s="11">
        <f>(D256-Base_de_dados!H256)/Base_de_dados!H256</f>
        <v>4.4644808643634235</v>
      </c>
    </row>
    <row r="257" spans="1:6">
      <c r="A257" s="6" t="str">
        <f>Base_de_dados!A257</f>
        <v>Ad_15</v>
      </c>
      <c r="B257" s="8">
        <f>Base_de_dados!G257/Base_de_dados!F257</f>
        <v>5.2966101694915252E-2</v>
      </c>
      <c r="C257" s="9">
        <f>Base_de_dados!G257/Base_de_dados!H257</f>
        <v>3.5211268671890533E-2</v>
      </c>
      <c r="D257" s="9">
        <f>Base_de_dados!I257*300</f>
        <v>15000</v>
      </c>
      <c r="E257" s="10">
        <f>Base_de_dados!H257/Base_de_dados!I257</f>
        <v>28.399999139999998</v>
      </c>
      <c r="F257" s="11">
        <f>(D257-Base_de_dados!H257)/Base_de_dados!H257</f>
        <v>9.5633806015671592</v>
      </c>
    </row>
    <row r="258" spans="1:6">
      <c r="A258" s="6" t="str">
        <f>Base_de_dados!A258</f>
        <v>Ad_15</v>
      </c>
      <c r="B258" s="8">
        <f>Base_de_dados!G258/Base_de_dados!F258</f>
        <v>1.7103249617427312E-2</v>
      </c>
      <c r="C258" s="9">
        <f>Base_de_dados!G258/Base_de_dados!H258</f>
        <v>3.6559553398670785E-2</v>
      </c>
      <c r="D258" s="9">
        <f>Base_de_dados!I258*300</f>
        <v>90000</v>
      </c>
      <c r="E258" s="10">
        <f>Base_de_dados!H258/Base_de_dados!I258</f>
        <v>173.23333423333332</v>
      </c>
      <c r="F258" s="11">
        <f>(D258-Base_de_dados!H258)/Base_de_dados!H258</f>
        <v>0.73176831888440563</v>
      </c>
    </row>
    <row r="259" spans="1:6">
      <c r="A259" s="6" t="str">
        <f>Base_de_dados!A259</f>
        <v>Ad_15</v>
      </c>
      <c r="B259" s="8">
        <f>Base_de_dados!G259/Base_de_dados!F259</f>
        <v>1.3439415116654124E-2</v>
      </c>
      <c r="C259" s="9">
        <f>Base_de_dados!G259/Base_de_dados!H259</f>
        <v>2.8216703862185291E-2</v>
      </c>
      <c r="D259" s="9">
        <f>Base_de_dados!I259*300</f>
        <v>15000</v>
      </c>
      <c r="E259" s="10">
        <f>Base_de_dados!H259/Base_de_dados!I259</f>
        <v>177.20000268000001</v>
      </c>
      <c r="F259" s="11">
        <f>(D259-Base_de_dados!H259)/Base_de_dados!H259</f>
        <v>0.69300223173111752</v>
      </c>
    </row>
    <row r="260" spans="1:6">
      <c r="A260" s="6" t="str">
        <f>Base_de_dados!A260</f>
        <v>Ad_15</v>
      </c>
      <c r="B260" s="8">
        <f>Base_de_dados!G260/Base_de_dados!F260</f>
        <v>1.2510574414088099E-2</v>
      </c>
      <c r="C260" s="9">
        <f>Base_de_dados!G260/Base_de_dados!H260</f>
        <v>3.7865128648321644E-2</v>
      </c>
      <c r="D260" s="9">
        <f>Base_de_dados!I260*300</f>
        <v>75000</v>
      </c>
      <c r="E260" s="10">
        <f>Base_de_dados!H260/Base_de_dados!I260</f>
        <v>110.91999816000001</v>
      </c>
      <c r="F260" s="11">
        <f>(D260-Base_de_dados!H260)/Base_de_dados!H260</f>
        <v>1.7046520463086887</v>
      </c>
    </row>
    <row r="261" spans="1:6">
      <c r="A261" s="6" t="str">
        <f>Base_de_dados!A261</f>
        <v>Ad_15</v>
      </c>
      <c r="B261" s="8">
        <f>Base_de_dados!G261/Base_de_dados!F261</f>
        <v>1.1907597046915932E-2</v>
      </c>
      <c r="C261" s="9">
        <f>Base_de_dados!G261/Base_de_dados!H261</f>
        <v>4.0816327058170218E-2</v>
      </c>
      <c r="D261" s="9">
        <f>Base_de_dados!I261*300</f>
        <v>15000</v>
      </c>
      <c r="E261" s="10">
        <f>Base_de_dados!H261/Base_de_dados!I261</f>
        <v>146.9999981</v>
      </c>
      <c r="F261" s="11">
        <f>(D261-Base_de_dados!H261)/Base_de_dados!H261</f>
        <v>1.0408163529085108</v>
      </c>
    </row>
    <row r="262" spans="1:6">
      <c r="A262" s="6" t="str">
        <f>Base_de_dados!A262</f>
        <v>Ad_15</v>
      </c>
      <c r="B262" s="8">
        <f>Base_de_dados!G262/Base_de_dados!F262</f>
        <v>1.2082363564678801E-2</v>
      </c>
      <c r="C262" s="9">
        <f>Base_de_dados!G262/Base_de_dados!H262</f>
        <v>3.5808518050741305E-2</v>
      </c>
      <c r="D262" s="9">
        <f>Base_de_dados!I262*300</f>
        <v>15000</v>
      </c>
      <c r="E262" s="10">
        <f>Base_de_dados!H262/Base_de_dados!I262</f>
        <v>530.600009</v>
      </c>
      <c r="F262" s="11">
        <f>(D262-Base_de_dados!H262)/Base_de_dados!H262</f>
        <v>-0.4346023465672425</v>
      </c>
    </row>
    <row r="263" spans="1:6">
      <c r="A263" s="6" t="str">
        <f>Base_de_dados!A263</f>
        <v>Ad_15</v>
      </c>
      <c r="B263" s="8">
        <f>Base_de_dados!G263/Base_de_dados!F263</f>
        <v>1.2171965528993621E-2</v>
      </c>
      <c r="C263" s="9">
        <f>Base_de_dados!G263/Base_de_dados!H263</f>
        <v>3.1701750073276629E-2</v>
      </c>
      <c r="D263" s="9">
        <f>Base_de_dados!I263*300</f>
        <v>45000</v>
      </c>
      <c r="E263" s="10">
        <f>Base_de_dados!H263/Base_de_dados!I263</f>
        <v>262.86666553333333</v>
      </c>
      <c r="F263" s="11">
        <f>(D263-Base_de_dados!H263)/Base_de_dados!H263</f>
        <v>0.14126300263795866</v>
      </c>
    </row>
    <row r="264" spans="1:6">
      <c r="A264" s="6" t="str">
        <f>Base_de_dados!A264</f>
        <v>Ad_15</v>
      </c>
      <c r="B264" s="8">
        <f>Base_de_dados!G264/Base_de_dados!F264</f>
        <v>1.4488029265819116E-2</v>
      </c>
      <c r="C264" s="9">
        <f>Base_de_dados!G264/Base_de_dados!H264</f>
        <v>2.5036511417456324E-2</v>
      </c>
      <c r="D264" s="9">
        <f>Base_de_dados!I264*300</f>
        <v>45000</v>
      </c>
      <c r="E264" s="10">
        <f>Base_de_dados!H264/Base_de_dados!I264</f>
        <v>319.5333354</v>
      </c>
      <c r="F264" s="11">
        <f>(D264-Base_de_dados!H264)/Base_de_dados!H264</f>
        <v>-6.1130821845387887E-2</v>
      </c>
    </row>
    <row r="265" spans="1:6">
      <c r="A265" s="6" t="str">
        <f>Base_de_dados!A265</f>
        <v>Ad_15</v>
      </c>
      <c r="B265" s="8">
        <f>Base_de_dados!G265/Base_de_dados!F265</f>
        <v>1.6233766233766232E-2</v>
      </c>
      <c r="C265" s="9">
        <f>Base_de_dados!G265/Base_de_dados!H265</f>
        <v>2.4834437242335864E-2</v>
      </c>
      <c r="D265" s="9">
        <f>Base_de_dados!I265*300</f>
        <v>15000</v>
      </c>
      <c r="E265" s="10">
        <f>Base_de_dados!H265/Base_de_dados!I265</f>
        <v>120.79999923999999</v>
      </c>
      <c r="F265" s="11">
        <f>(D265-Base_de_dados!H265)/Base_de_dados!H265</f>
        <v>1.4834437242335865</v>
      </c>
    </row>
    <row r="266" spans="1:6">
      <c r="A266" s="6" t="str">
        <f>Base_de_dados!A266</f>
        <v>Ad_15</v>
      </c>
      <c r="B266" s="8">
        <f>Base_de_dados!G266/Base_de_dados!F266</f>
        <v>1.2976901116013496E-2</v>
      </c>
      <c r="C266" s="9">
        <f>Base_de_dados!G266/Base_de_dados!H266</f>
        <v>4.2194094856593589E-2</v>
      </c>
      <c r="D266" s="9">
        <f>Base_de_dados!I266*300</f>
        <v>15000</v>
      </c>
      <c r="E266" s="10">
        <f>Base_de_dados!H266/Base_de_dados!I266</f>
        <v>47.399997720000002</v>
      </c>
      <c r="F266" s="11">
        <f>(D266-Base_de_dados!H266)/Base_de_dados!H266</f>
        <v>5.3291142284890389</v>
      </c>
    </row>
    <row r="267" spans="1:6">
      <c r="A267" s="6" t="str">
        <f>Base_de_dados!A267</f>
        <v>Ad_15</v>
      </c>
      <c r="B267" s="8">
        <f>Base_de_dados!G267/Base_de_dados!F267</f>
        <v>2.5572177470911648E-2</v>
      </c>
      <c r="C267" s="9">
        <f>Base_de_dados!G267/Base_de_dados!H267</f>
        <v>3.1545740563643801E-2</v>
      </c>
      <c r="D267" s="9">
        <f>Base_de_dados!I267*300</f>
        <v>30000</v>
      </c>
      <c r="E267" s="10">
        <f>Base_de_dados!H267/Base_de_dados!I267</f>
        <v>63.400001529999997</v>
      </c>
      <c r="F267" s="11">
        <f>(D267-Base_de_dados!H267)/Base_de_dados!H267</f>
        <v>3.7318610845465701</v>
      </c>
    </row>
    <row r="268" spans="1:6">
      <c r="A268" s="6" t="str">
        <f>Base_de_dados!A268</f>
        <v>Ad_15</v>
      </c>
      <c r="B268" s="8">
        <f>Base_de_dados!G268/Base_de_dados!F268</f>
        <v>1.4278155262340105E-2</v>
      </c>
      <c r="C268" s="9">
        <f>Base_de_dados!G268/Base_de_dados!H268</f>
        <v>3.1942878923165503E-2</v>
      </c>
      <c r="D268" s="9">
        <f>Base_de_dados!I268*300</f>
        <v>15000</v>
      </c>
      <c r="E268" s="10">
        <f>Base_de_dados!H268/Base_de_dados!I268</f>
        <v>1064.3999898</v>
      </c>
      <c r="F268" s="11">
        <f>(D268-Base_de_dados!H268)/Base_de_dados!H268</f>
        <v>-0.7181510683250103</v>
      </c>
    </row>
    <row r="269" spans="1:6">
      <c r="A269" s="6" t="str">
        <f>Base_de_dados!A269</f>
        <v>Ad_15</v>
      </c>
      <c r="B269" s="8">
        <f>Base_de_dados!G269/Base_de_dados!F269</f>
        <v>1.1607016693917923E-2</v>
      </c>
      <c r="C269" s="9">
        <f>Base_de_dados!G269/Base_de_dados!H269</f>
        <v>3.2122905494522652E-2</v>
      </c>
      <c r="D269" s="9">
        <f>Base_de_dados!I269*300</f>
        <v>30000</v>
      </c>
      <c r="E269" s="10">
        <f>Base_de_dados!H269/Base_de_dados!I269</f>
        <v>357.99999479999997</v>
      </c>
      <c r="F269" s="11">
        <f>(D269-Base_de_dados!H269)/Base_de_dados!H269</f>
        <v>-0.16201116101245258</v>
      </c>
    </row>
    <row r="270" spans="1:6">
      <c r="A270" s="6" t="str">
        <f>Base_de_dados!A270</f>
        <v>Ad_15</v>
      </c>
      <c r="B270" s="8">
        <f>Base_de_dados!G270/Base_de_dados!F270</f>
        <v>1.2599525196839951E-2</v>
      </c>
      <c r="C270" s="9">
        <f>Base_de_dados!G270/Base_de_dados!H270</f>
        <v>3.1628009999147645E-2</v>
      </c>
      <c r="D270" s="9">
        <f>Base_de_dados!I270*300</f>
        <v>15000</v>
      </c>
      <c r="E270" s="10">
        <f>Base_de_dados!H270/Base_de_dados!I270</f>
        <v>3604.400024</v>
      </c>
      <c r="F270" s="11">
        <f>(D270-Base_de_dados!H270)/Base_de_dados!H270</f>
        <v>-0.91676839473908511</v>
      </c>
    </row>
    <row r="271" spans="1:6">
      <c r="A271" s="6" t="str">
        <f>Base_de_dados!A271</f>
        <v>Ad_15</v>
      </c>
      <c r="B271" s="8">
        <f>Base_de_dados!G271/Base_de_dados!F271</f>
        <v>1.2550791484287978E-2</v>
      </c>
      <c r="C271" s="9">
        <f>Base_de_dados!G271/Base_de_dados!H271</f>
        <v>3.1409501143969107E-2</v>
      </c>
      <c r="D271" s="9">
        <f>Base_de_dados!I271*300</f>
        <v>15000</v>
      </c>
      <c r="E271" s="10">
        <f>Base_de_dados!H271/Base_de_dados!I271</f>
        <v>1528.2000112000001</v>
      </c>
      <c r="F271" s="11">
        <f>(D271-Base_de_dados!H271)/Base_de_dados!H271</f>
        <v>-0.80369061785019313</v>
      </c>
    </row>
    <row r="272" spans="1:6">
      <c r="A272" s="6" t="str">
        <f>Base_de_dados!A272</f>
        <v>Ad_15</v>
      </c>
      <c r="B272" s="8">
        <f>Base_de_dados!G272/Base_de_dados!F272</f>
        <v>1.3503781058696434E-2</v>
      </c>
      <c r="C272" s="9">
        <f>Base_de_dados!G272/Base_de_dados!H272</f>
        <v>3.1413612723335434E-2</v>
      </c>
      <c r="D272" s="9">
        <f>Base_de_dados!I272*300</f>
        <v>15000</v>
      </c>
      <c r="E272" s="10">
        <f>Base_de_dados!H272/Base_de_dados!I272</f>
        <v>190.99999904000001</v>
      </c>
      <c r="F272" s="11">
        <f>(D272-Base_de_dados!H272)/Base_de_dados!H272</f>
        <v>0.57068063616677178</v>
      </c>
    </row>
    <row r="273" spans="1:6">
      <c r="A273" s="6" t="str">
        <f>Base_de_dados!A273</f>
        <v>Ad_15</v>
      </c>
      <c r="B273" s="8">
        <f>Base_de_dados!G273/Base_de_dados!F273</f>
        <v>1.1389285788242115E-2</v>
      </c>
      <c r="C273" s="9">
        <f>Base_de_dados!G273/Base_de_dados!H273</f>
        <v>3.0521642653187173E-2</v>
      </c>
      <c r="D273" s="9">
        <f>Base_de_dados!I273*300</f>
        <v>15000</v>
      </c>
      <c r="E273" s="10">
        <f>Base_de_dados!H273/Base_de_dados!I273</f>
        <v>360.3999996</v>
      </c>
      <c r="F273" s="11">
        <f>(D273-Base_de_dados!H273)/Base_de_dados!H273</f>
        <v>-0.16759156400398623</v>
      </c>
    </row>
    <row r="274" spans="1:6">
      <c r="A274" s="6" t="str">
        <f>Base_de_dados!A274</f>
        <v>Ad_15</v>
      </c>
      <c r="B274" s="8">
        <f>Base_de_dados!G274/Base_de_dados!F274</f>
        <v>1.9619383951343928E-2</v>
      </c>
      <c r="C274" s="9">
        <f>Base_de_dados!G274/Base_de_dados!H274</f>
        <v>4.3572984436185513E-2</v>
      </c>
      <c r="D274" s="9">
        <f>Base_de_dados!I274*300</f>
        <v>45000</v>
      </c>
      <c r="E274" s="10">
        <f>Base_de_dados!H274/Base_de_dados!I274</f>
        <v>30.600000220000002</v>
      </c>
      <c r="F274" s="11">
        <f>(D274-Base_de_dados!H274)/Base_de_dados!H274</f>
        <v>8.8039214981417402</v>
      </c>
    </row>
    <row r="275" spans="1:6">
      <c r="A275" s="6" t="str">
        <f>Base_de_dados!A275</f>
        <v>Ad_15</v>
      </c>
      <c r="B275" s="8">
        <f>Base_de_dados!G275/Base_de_dados!F275</f>
        <v>1.9937197826845436E-2</v>
      </c>
      <c r="C275" s="9">
        <f>Base_de_dados!G275/Base_de_dados!H275</f>
        <v>3.093580818602637E-2</v>
      </c>
      <c r="D275" s="9">
        <f>Base_de_dados!I275*300</f>
        <v>15000</v>
      </c>
      <c r="E275" s="10">
        <f>Base_de_dados!H275/Base_de_dados!I275</f>
        <v>517.20000019999998</v>
      </c>
      <c r="F275" s="11">
        <f>(D275-Base_de_dados!H275)/Base_de_dados!H275</f>
        <v>-0.41995359651200559</v>
      </c>
    </row>
    <row r="276" spans="1:6">
      <c r="A276" s="6" t="str">
        <f>Base_de_dados!A276</f>
        <v>Ad_15</v>
      </c>
      <c r="B276" s="8">
        <f>Base_de_dados!G276/Base_de_dados!F276</f>
        <v>1.3664935774801858E-2</v>
      </c>
      <c r="C276" s="9">
        <f>Base_de_dados!G276/Base_de_dados!H276</f>
        <v>0.10204081424406503</v>
      </c>
      <c r="D276" s="9">
        <f>Base_de_dados!I276*300</f>
        <v>30000</v>
      </c>
      <c r="E276" s="10">
        <f>Base_de_dados!H276/Base_de_dados!I276</f>
        <v>4.9000000999999997</v>
      </c>
      <c r="F276" s="11">
        <f>(D276-Base_de_dados!H276)/Base_de_dados!H276</f>
        <v>60.224488546439012</v>
      </c>
    </row>
    <row r="277" spans="1:6">
      <c r="A277" s="6" t="str">
        <f>Base_de_dados!A277</f>
        <v>Ad_15</v>
      </c>
      <c r="B277" s="8">
        <f>Base_de_dados!G277/Base_de_dados!F277</f>
        <v>6.6225165562913907E-3</v>
      </c>
      <c r="C277" s="9">
        <f>Base_de_dados!G277/Base_de_dados!H277</f>
        <v>2.9761905683106601E-2</v>
      </c>
      <c r="D277" s="9">
        <f>Base_de_dados!I277*300</f>
        <v>30000</v>
      </c>
      <c r="E277" s="10">
        <f>Base_de_dados!H277/Base_de_dados!I277</f>
        <v>16.79999948</v>
      </c>
      <c r="F277" s="11">
        <f>(D277-Base_de_dados!H277)/Base_de_dados!H277</f>
        <v>16.857143409863962</v>
      </c>
    </row>
    <row r="278" spans="1:6">
      <c r="A278" s="6" t="str">
        <f>Base_de_dados!A278</f>
        <v>Ad_15</v>
      </c>
      <c r="B278" s="8">
        <f>Base_de_dados!G278/Base_de_dados!F278</f>
        <v>1.6520915478996409E-2</v>
      </c>
      <c r="C278" s="9">
        <f>Base_de_dados!G278/Base_de_dados!H278</f>
        <v>2.9504328044168766E-2</v>
      </c>
      <c r="D278" s="9">
        <f>Base_de_dados!I278*300</f>
        <v>30000</v>
      </c>
      <c r="E278" s="10">
        <f>Base_de_dados!H278/Base_de_dados!I278</f>
        <v>254.19999359999997</v>
      </c>
      <c r="F278" s="11">
        <f>(D278-Base_de_dados!H278)/Base_de_dados!H278</f>
        <v>0.1801731217667506</v>
      </c>
    </row>
    <row r="279" spans="1:6">
      <c r="A279" s="6" t="str">
        <f>Base_de_dados!A279</f>
        <v>Ad_15</v>
      </c>
      <c r="B279" s="8">
        <f>Base_de_dados!G279/Base_de_dados!F279</f>
        <v>1.5679432575589118E-2</v>
      </c>
      <c r="C279" s="9">
        <f>Base_de_dados!G279/Base_de_dados!H279</f>
        <v>3.3696851755597279E-2</v>
      </c>
      <c r="D279" s="9">
        <f>Base_de_dados!I279*300</f>
        <v>15000</v>
      </c>
      <c r="E279" s="10">
        <f>Base_de_dados!H279/Base_de_dados!I279</f>
        <v>1632.1999574000001</v>
      </c>
      <c r="F279" s="11">
        <f>(D279-Base_de_dados!H279)/Base_de_dados!H279</f>
        <v>-0.81619899042401489</v>
      </c>
    </row>
    <row r="280" spans="1:6">
      <c r="A280" s="6" t="str">
        <f>Base_de_dados!A280</f>
        <v>Ad_15</v>
      </c>
      <c r="B280" s="8">
        <f>Base_de_dados!G280/Base_de_dados!F280</f>
        <v>1.1805446245868094E-2</v>
      </c>
      <c r="C280" s="9">
        <f>Base_de_dados!G280/Base_de_dados!H280</f>
        <v>3.0060120903128918E-2</v>
      </c>
      <c r="D280" s="9">
        <f>Base_de_dados!I280*300</f>
        <v>30000</v>
      </c>
      <c r="E280" s="10">
        <f>Base_de_dados!H280/Base_de_dados!I280</f>
        <v>49.8999989</v>
      </c>
      <c r="F280" s="11">
        <f>(D280-Base_de_dados!H280)/Base_de_dados!H280</f>
        <v>5.0120241806257839</v>
      </c>
    </row>
    <row r="281" spans="1:6">
      <c r="A281" s="6" t="str">
        <f>Base_de_dados!A281</f>
        <v>Ad_15</v>
      </c>
      <c r="B281" s="8">
        <f>Base_de_dados!G281/Base_de_dados!F281</f>
        <v>1.4143871460496168E-2</v>
      </c>
      <c r="C281" s="9">
        <f>Base_de_dados!G281/Base_de_dados!H281</f>
        <v>3.1535793324098352E-2</v>
      </c>
      <c r="D281" s="9">
        <f>Base_de_dados!I281*300</f>
        <v>15000</v>
      </c>
      <c r="E281" s="10">
        <f>Base_de_dados!H281/Base_de_dados!I281</f>
        <v>634.19999599999994</v>
      </c>
      <c r="F281" s="11">
        <f>(D281-Base_de_dados!H281)/Base_de_dados!H281</f>
        <v>-0.52696310013852476</v>
      </c>
    </row>
    <row r="282" spans="1:6">
      <c r="A282" s="6" t="str">
        <f>Base_de_dados!A282</f>
        <v>Ad_15</v>
      </c>
      <c r="B282" s="8">
        <f>Base_de_dados!G282/Base_de_dados!F282</f>
        <v>1.2514274093888342E-2</v>
      </c>
      <c r="C282" s="9">
        <f>Base_de_dados!G282/Base_de_dados!H282</f>
        <v>3.1347961817395673E-2</v>
      </c>
      <c r="D282" s="9">
        <f>Base_de_dados!I282*300</f>
        <v>30000</v>
      </c>
      <c r="E282" s="10">
        <f>Base_de_dados!H282/Base_de_dados!I282</f>
        <v>255.2000046</v>
      </c>
      <c r="F282" s="11">
        <f>(D282-Base_de_dados!H282)/Base_de_dados!H282</f>
        <v>0.17554856815233774</v>
      </c>
    </row>
    <row r="283" spans="1:6">
      <c r="A283" s="6" t="str">
        <f>Base_de_dados!A283</f>
        <v>Ad_15</v>
      </c>
      <c r="B283" s="8">
        <f>Base_de_dados!G283/Base_de_dados!F283</f>
        <v>9.9304865938430985E-3</v>
      </c>
      <c r="C283" s="9">
        <f>Base_de_dados!G283/Base_de_dados!H283</f>
        <v>3.521126768828936E-2</v>
      </c>
      <c r="D283" s="9">
        <f>Base_de_dados!I283*300</f>
        <v>15000</v>
      </c>
      <c r="E283" s="10">
        <f>Base_de_dados!H283/Base_de_dados!I283</f>
        <v>85.199999800000001</v>
      </c>
      <c r="F283" s="11">
        <f>(D283-Base_de_dados!H283)/Base_de_dados!H283</f>
        <v>2.5211267688289358</v>
      </c>
    </row>
    <row r="284" spans="1:6">
      <c r="A284" s="6" t="str">
        <f>Base_de_dados!A284</f>
        <v>Ad_15</v>
      </c>
      <c r="B284" s="8">
        <f>Base_de_dados!G284/Base_de_dados!F284</f>
        <v>1.7247645388410813E-2</v>
      </c>
      <c r="C284" s="9">
        <f>Base_de_dados!G284/Base_de_dados!H284</f>
        <v>3.6325895319940682E-2</v>
      </c>
      <c r="D284" s="9">
        <f>Base_de_dados!I284*300</f>
        <v>45000</v>
      </c>
      <c r="E284" s="10">
        <f>Base_de_dados!H284/Base_de_dados!I284</f>
        <v>513.86666460000004</v>
      </c>
      <c r="F284" s="11">
        <f>(D284-Base_de_dados!H284)/Base_de_dados!H284</f>
        <v>-0.41619096807238193</v>
      </c>
    </row>
    <row r="285" spans="1:6">
      <c r="A285" s="6" t="str">
        <f>Base_de_dados!A285</f>
        <v>Ad_15</v>
      </c>
      <c r="B285" s="8">
        <f>Base_de_dados!G285/Base_de_dados!F285</f>
        <v>1.4261266400456361E-2</v>
      </c>
      <c r="C285" s="9">
        <f>Base_de_dados!G285/Base_de_dados!H285</f>
        <v>3.7513397947590378E-2</v>
      </c>
      <c r="D285" s="9">
        <f>Base_de_dados!I285*300</f>
        <v>15000</v>
      </c>
      <c r="E285" s="10">
        <f>Base_de_dados!H285/Base_de_dados!I285</f>
        <v>186.59999847999998</v>
      </c>
      <c r="F285" s="11">
        <f>(D285-Base_de_dados!H285)/Base_de_dados!H285</f>
        <v>0.60771705489673056</v>
      </c>
    </row>
    <row r="286" spans="1:6">
      <c r="A286" s="6" t="str">
        <f>Base_de_dados!A286</f>
        <v>Ad_15</v>
      </c>
      <c r="B286" s="8">
        <f>Base_de_dados!G286/Base_de_dados!F286</f>
        <v>1.4562824022834509E-2</v>
      </c>
      <c r="C286" s="9">
        <f>Base_de_dados!G286/Base_de_dados!H286</f>
        <v>3.617944962207921E-2</v>
      </c>
      <c r="D286" s="9">
        <f>Base_de_dados!I286*300</f>
        <v>15000</v>
      </c>
      <c r="E286" s="10">
        <f>Base_de_dados!H286/Base_de_dados!I286</f>
        <v>138.20000171999999</v>
      </c>
      <c r="F286" s="11">
        <f>(D286-Base_de_dados!H286)/Base_de_dados!H286</f>
        <v>1.1707669773247524</v>
      </c>
    </row>
    <row r="287" spans="1:6">
      <c r="A287" s="6" t="str">
        <f>Base_de_dados!A287</f>
        <v>Ad_15</v>
      </c>
      <c r="B287" s="8">
        <f>Base_de_dados!G287/Base_de_dados!F287</f>
        <v>9.3440478415249481E-3</v>
      </c>
      <c r="C287" s="9">
        <f>Base_de_dados!G287/Base_de_dados!H287</f>
        <v>3.6764706567185709E-2</v>
      </c>
      <c r="D287" s="9">
        <f>Base_de_dados!I287*300</f>
        <v>30000</v>
      </c>
      <c r="E287" s="10">
        <f>Base_de_dados!H287/Base_de_dados!I287</f>
        <v>40.799999240000005</v>
      </c>
      <c r="F287" s="11">
        <f>(D287-Base_de_dados!H287)/Base_de_dados!H287</f>
        <v>6.3529413134371415</v>
      </c>
    </row>
    <row r="288" spans="1:6">
      <c r="A288" s="6" t="str">
        <f>Base_de_dados!A288</f>
        <v>Ad_15</v>
      </c>
      <c r="B288" s="8">
        <f>Base_de_dados!G288/Base_de_dados!F288</f>
        <v>1.096411081061326E-2</v>
      </c>
      <c r="C288" s="9">
        <f>Base_de_dados!G288/Base_de_dados!H288</f>
        <v>3.3463469139608119E-2</v>
      </c>
      <c r="D288" s="9">
        <f>Base_de_dados!I288*300</f>
        <v>30000</v>
      </c>
      <c r="E288" s="10">
        <f>Base_de_dados!H288/Base_de_dados!I288</f>
        <v>179.29999949999998</v>
      </c>
      <c r="F288" s="11">
        <f>(D288-Base_de_dados!H288)/Base_de_dados!H288</f>
        <v>0.67317345698040587</v>
      </c>
    </row>
    <row r="289" spans="1:6">
      <c r="A289" s="6" t="str">
        <f>Base_de_dados!A289</f>
        <v>Ad_15</v>
      </c>
      <c r="B289" s="8">
        <f>Base_de_dados!G289/Base_de_dados!F289</f>
        <v>1.6394008421343274E-2</v>
      </c>
      <c r="C289" s="9">
        <f>Base_de_dados!G289/Base_de_dados!H289</f>
        <v>3.8430420665335245E-2</v>
      </c>
      <c r="D289" s="9">
        <f>Base_de_dados!I289*300</f>
        <v>15000</v>
      </c>
      <c r="E289" s="10">
        <f>Base_de_dados!H289/Base_de_dados!I289</f>
        <v>988.80000120000011</v>
      </c>
      <c r="F289" s="11">
        <f>(D289-Base_de_dados!H289)/Base_de_dados!H289</f>
        <v>-0.69660194211577442</v>
      </c>
    </row>
    <row r="290" spans="1:6">
      <c r="A290" s="6" t="str">
        <f>Base_de_dados!A290</f>
        <v>Ad_15</v>
      </c>
      <c r="B290" s="8">
        <f>Base_de_dados!G290/Base_de_dados!F290</f>
        <v>1.3865248905123449E-2</v>
      </c>
      <c r="C290" s="9">
        <f>Base_de_dados!G290/Base_de_dados!H290</f>
        <v>3.6942674265081771E-2</v>
      </c>
      <c r="D290" s="9">
        <f>Base_de_dados!I290*300</f>
        <v>30000</v>
      </c>
      <c r="E290" s="10">
        <f>Base_de_dados!H290/Base_de_dados!I290</f>
        <v>392.50000950000003</v>
      </c>
      <c r="F290" s="11">
        <f>(D290-Base_de_dados!H290)/Base_de_dados!H290</f>
        <v>-0.23566880830865308</v>
      </c>
    </row>
    <row r="291" spans="1:6">
      <c r="A291" s="6" t="str">
        <f>Base_de_dados!A291</f>
        <v>Ad_15</v>
      </c>
      <c r="B291" s="8">
        <f>Base_de_dados!G291/Base_de_dados!F291</f>
        <v>1.6337927756653992E-2</v>
      </c>
      <c r="C291" s="9">
        <f>Base_de_dados!G291/Base_de_dados!H291</f>
        <v>4.3964826907458877E-2</v>
      </c>
      <c r="D291" s="9">
        <f>Base_de_dados!I291*300</f>
        <v>15000</v>
      </c>
      <c r="E291" s="10">
        <f>Base_de_dados!H291/Base_de_dados!I291</f>
        <v>250.200007</v>
      </c>
      <c r="F291" s="11">
        <f>(D291-Base_de_dados!H291)/Base_de_dados!H291</f>
        <v>0.1990407338397876</v>
      </c>
    </row>
    <row r="292" spans="1:6">
      <c r="A292" s="6" t="str">
        <f>Base_de_dados!A292</f>
        <v>Ad_15</v>
      </c>
      <c r="B292" s="8">
        <f>Base_de_dados!G292/Base_de_dados!F292</f>
        <v>2.826455624646693E-2</v>
      </c>
      <c r="C292" s="9">
        <f>Base_de_dados!G292/Base_de_dados!H292</f>
        <v>3.4965035274748563E-2</v>
      </c>
      <c r="D292" s="9">
        <f>Base_de_dados!I292*300</f>
        <v>45000</v>
      </c>
      <c r="E292" s="10">
        <f>Base_de_dados!H292/Base_de_dados!I292</f>
        <v>28.599999746666665</v>
      </c>
      <c r="F292" s="11">
        <f>(D292-Base_de_dados!H292)/Base_de_dados!H292</f>
        <v>9.48951058242457</v>
      </c>
    </row>
    <row r="293" spans="1:6">
      <c r="A293" s="6" t="str">
        <f>Base_de_dados!A293</f>
        <v>Ad_15</v>
      </c>
      <c r="B293" s="8">
        <f>Base_de_dados!G293/Base_de_dados!F293</f>
        <v>1.8728150491093724E-2</v>
      </c>
      <c r="C293" s="9">
        <f>Base_de_dados!G293/Base_de_dados!H293</f>
        <v>3.6319611594134951E-2</v>
      </c>
      <c r="D293" s="9">
        <f>Base_de_dados!I293*300</f>
        <v>30000</v>
      </c>
      <c r="E293" s="10">
        <f>Base_de_dados!H293/Base_de_dados!I293</f>
        <v>123.9000034</v>
      </c>
      <c r="F293" s="11">
        <f>(D293-Base_de_dados!H293)/Base_de_dados!H293</f>
        <v>1.4213074396089969</v>
      </c>
    </row>
    <row r="294" spans="1:6">
      <c r="A294" s="6" t="str">
        <f>Base_de_dados!A294</f>
        <v>Ad_15</v>
      </c>
      <c r="B294" s="8">
        <f>Base_de_dados!G294/Base_de_dados!F294</f>
        <v>1.3176966662274345E-2</v>
      </c>
      <c r="C294" s="9">
        <f>Base_de_dados!G294/Base_de_dados!H294</f>
        <v>3.1746030788611768E-2</v>
      </c>
      <c r="D294" s="9">
        <f>Base_de_dados!I294*300</f>
        <v>30000</v>
      </c>
      <c r="E294" s="10">
        <f>Base_de_dados!H294/Base_de_dados!I294</f>
        <v>31.500000950000004</v>
      </c>
      <c r="F294" s="11">
        <f>(D294-Base_de_dados!H294)/Base_de_dados!H294</f>
        <v>8.5238092365835296</v>
      </c>
    </row>
    <row r="295" spans="1:6">
      <c r="A295" s="6" t="str">
        <f>Base_de_dados!A295</f>
        <v>Ad_15</v>
      </c>
      <c r="B295" s="8">
        <f>Base_de_dados!G295/Base_de_dados!F295</f>
        <v>2.3812925656046102E-2</v>
      </c>
      <c r="C295" s="9">
        <f>Base_de_dados!G295/Base_de_dados!H295</f>
        <v>4.1841004849354893E-2</v>
      </c>
      <c r="D295" s="9">
        <f>Base_de_dados!I295*300</f>
        <v>15000</v>
      </c>
      <c r="E295" s="10">
        <f>Base_de_dados!H295/Base_de_dados!I295</f>
        <v>238.9999962</v>
      </c>
      <c r="F295" s="11">
        <f>(D295-Base_de_dados!H295)/Base_de_dados!H295</f>
        <v>0.25523014548064671</v>
      </c>
    </row>
    <row r="296" spans="1:6">
      <c r="A296" s="6" t="str">
        <f>Base_de_dados!A296</f>
        <v>Ad_15</v>
      </c>
      <c r="B296" s="8">
        <f>Base_de_dados!G296/Base_de_dados!F296</f>
        <v>1.0829542993285684E-2</v>
      </c>
      <c r="C296" s="9">
        <f>Base_de_dados!G296/Base_de_dados!H296</f>
        <v>3.6764705503892742E-2</v>
      </c>
      <c r="D296" s="9">
        <f>Base_de_dados!I296*300</f>
        <v>15000</v>
      </c>
      <c r="E296" s="10">
        <f>Base_de_dados!H296/Base_de_dados!I296</f>
        <v>27.200000279999998</v>
      </c>
      <c r="F296" s="11">
        <f>(D296-Base_de_dados!H296)/Base_de_dados!H296</f>
        <v>10.029411651167822</v>
      </c>
    </row>
    <row r="297" spans="1:6">
      <c r="A297" s="6" t="str">
        <f>Base_de_dados!A297</f>
        <v>Ad_15</v>
      </c>
      <c r="B297" s="8">
        <f>Base_de_dados!G297/Base_de_dados!F297</f>
        <v>2.3414816896131872E-2</v>
      </c>
      <c r="C297" s="9">
        <f>Base_de_dados!G297/Base_de_dados!H297</f>
        <v>3.4387895550669879E-2</v>
      </c>
      <c r="D297" s="9">
        <f>Base_de_dados!I297*300</f>
        <v>15000</v>
      </c>
      <c r="E297" s="10">
        <f>Base_de_dados!H297/Base_de_dados!I297</f>
        <v>145.39999961999999</v>
      </c>
      <c r="F297" s="11">
        <f>(D297-Base_de_dados!H297)/Base_de_dados!H297</f>
        <v>1.0632737330401927</v>
      </c>
    </row>
    <row r="298" spans="1:6">
      <c r="A298" s="6" t="str">
        <f>Base_de_dados!A298</f>
        <v>Ad_15</v>
      </c>
      <c r="B298" s="8">
        <f>Base_de_dados!G298/Base_de_dados!F298</f>
        <v>3.0515715593530668E-2</v>
      </c>
      <c r="C298" s="9">
        <f>Base_de_dados!G298/Base_de_dados!H298</f>
        <v>3.7313431902985097E-2</v>
      </c>
      <c r="D298" s="9">
        <f>Base_de_dados!I298*300</f>
        <v>15000</v>
      </c>
      <c r="E298" s="10">
        <f>Base_de_dados!H298/Base_de_dados!I298</f>
        <v>53.600001339999999</v>
      </c>
      <c r="F298" s="11">
        <f>(D298-Base_de_dados!H298)/Base_de_dados!H298</f>
        <v>4.5970147854477643</v>
      </c>
    </row>
    <row r="299" spans="1:6">
      <c r="A299" s="6" t="str">
        <f>Base_de_dados!A299</f>
        <v>Ad_15</v>
      </c>
      <c r="B299" s="8">
        <f>Base_de_dados!G299/Base_de_dados!F299</f>
        <v>2.4073182474723159E-2</v>
      </c>
      <c r="C299" s="9">
        <f>Base_de_dados!G299/Base_de_dados!H299</f>
        <v>3.3112583000745585E-2</v>
      </c>
      <c r="D299" s="9">
        <f>Base_de_dados!I299*300</f>
        <v>30000</v>
      </c>
      <c r="E299" s="10">
        <f>Base_de_dados!H299/Base_de_dados!I299</f>
        <v>15.0999999</v>
      </c>
      <c r="F299" s="11">
        <f>(D299-Base_de_dados!H299)/Base_de_dados!H299</f>
        <v>18.86754980044735</v>
      </c>
    </row>
    <row r="300" spans="1:6">
      <c r="A300" s="6" t="str">
        <f>Base_de_dados!A300</f>
        <v>Ad_15</v>
      </c>
      <c r="B300" s="8">
        <f>Base_de_dados!G300/Base_de_dados!F300</f>
        <v>1.8358729575913346E-2</v>
      </c>
      <c r="C300" s="9">
        <f>Base_de_dados!G300/Base_de_dados!H300</f>
        <v>3.3783783350073052E-2</v>
      </c>
      <c r="D300" s="9">
        <f>Base_de_dados!I300*300</f>
        <v>15000</v>
      </c>
      <c r="E300" s="10">
        <f>Base_de_dados!H300/Base_de_dados!I300</f>
        <v>59.200000760000002</v>
      </c>
      <c r="F300" s="11">
        <f>(D300-Base_de_dados!H300)/Base_de_dados!H300</f>
        <v>4.0675675025109577</v>
      </c>
    </row>
    <row r="301" spans="1:6">
      <c r="A301" s="6" t="str">
        <f>Base_de_dados!A301</f>
        <v>Ad_16</v>
      </c>
      <c r="B301" s="8">
        <f>Base_de_dados!G301/Base_de_dados!F301</f>
        <v>1.4332123065163386E-2</v>
      </c>
      <c r="C301" s="9">
        <f>Base_de_dados!G301/Base_de_dados!H301</f>
        <v>3.6674816330007597E-2</v>
      </c>
      <c r="D301" s="9">
        <f>Base_de_dados!I301*300</f>
        <v>15000</v>
      </c>
      <c r="E301" s="10">
        <f>Base_de_dados!H301/Base_de_dados!I301</f>
        <v>81.800000659999995</v>
      </c>
      <c r="F301" s="11">
        <f>(D301-Base_de_dados!H301)/Base_de_dados!H301</f>
        <v>2.6674816330007594</v>
      </c>
    </row>
    <row r="302" spans="1:6">
      <c r="A302" s="6" t="str">
        <f>Base_de_dados!A302</f>
        <v>Ad_16</v>
      </c>
      <c r="B302" s="8">
        <f>Base_de_dados!G302/Base_de_dados!F302</f>
        <v>1.1012973282526817E-2</v>
      </c>
      <c r="C302" s="9">
        <f>Base_de_dados!G302/Base_de_dados!H302</f>
        <v>3.5561876604837256E-2</v>
      </c>
      <c r="D302" s="9">
        <f>Base_de_dados!I302*300</f>
        <v>15000</v>
      </c>
      <c r="E302" s="10">
        <f>Base_de_dados!H302/Base_de_dados!I302</f>
        <v>281.2000084</v>
      </c>
      <c r="F302" s="11">
        <f>(D302-Base_de_dados!H302)/Base_de_dados!H302</f>
        <v>6.6856298145117676E-2</v>
      </c>
    </row>
    <row r="303" spans="1:6">
      <c r="A303" s="6" t="str">
        <f>Base_de_dados!A303</f>
        <v>Ad_16</v>
      </c>
      <c r="B303" s="8">
        <f>Base_de_dados!G303/Base_de_dados!F303</f>
        <v>1.3372559507889811E-2</v>
      </c>
      <c r="C303" s="9">
        <f>Base_de_dados!G303/Base_de_dados!H303</f>
        <v>3.4482757491082081E-2</v>
      </c>
      <c r="D303" s="9">
        <f>Base_de_dados!I303*300</f>
        <v>30000</v>
      </c>
      <c r="E303" s="10">
        <f>Base_de_dados!H303/Base_de_dados!I303</f>
        <v>29.000000950000004</v>
      </c>
      <c r="F303" s="11">
        <f>(D303-Base_de_dados!H303)/Base_de_dados!H303</f>
        <v>9.3448272473246234</v>
      </c>
    </row>
    <row r="304" spans="1:6">
      <c r="A304" s="6" t="str">
        <f>Base_de_dados!A304</f>
        <v>Ad_16</v>
      </c>
      <c r="B304" s="8">
        <f>Base_de_dados!G304/Base_de_dados!F304</f>
        <v>1.0164667615368977E-2</v>
      </c>
      <c r="C304" s="9">
        <f>Base_de_dados!G304/Base_de_dados!H304</f>
        <v>3.1446540227839104E-2</v>
      </c>
      <c r="D304" s="9">
        <f>Base_de_dados!I304*300</f>
        <v>15000</v>
      </c>
      <c r="E304" s="10">
        <f>Base_de_dados!H304/Base_de_dados!I304</f>
        <v>31.800000660000002</v>
      </c>
      <c r="F304" s="11">
        <f>(D304-Base_de_dados!H304)/Base_de_dados!H304</f>
        <v>8.4339620683517307</v>
      </c>
    </row>
    <row r="305" spans="1:6">
      <c r="A305" s="6" t="str">
        <f>Base_de_dados!A305</f>
        <v>Ad_16</v>
      </c>
      <c r="B305" s="8">
        <f>Base_de_dados!G305/Base_de_dados!F305</f>
        <v>1.5505478602439528E-2</v>
      </c>
      <c r="C305" s="9">
        <f>Base_de_dados!G305/Base_de_dados!H305</f>
        <v>3.2608695482041587E-2</v>
      </c>
      <c r="D305" s="9">
        <f>Base_de_dados!I305*300</f>
        <v>30000</v>
      </c>
      <c r="E305" s="10">
        <f>Base_de_dados!H305/Base_de_dados!I305</f>
        <v>46.000000239999999</v>
      </c>
      <c r="F305" s="11">
        <f>(D305-Base_de_dados!H305)/Base_de_dados!H305</f>
        <v>5.5217390964083179</v>
      </c>
    </row>
    <row r="306" spans="1:6">
      <c r="A306" s="6" t="str">
        <f>Base_de_dados!A306</f>
        <v>Ad_16</v>
      </c>
      <c r="B306" s="8">
        <f>Base_de_dados!G306/Base_de_dados!F306</f>
        <v>8.2061381913671426E-3</v>
      </c>
      <c r="C306" s="9">
        <f>Base_de_dados!G306/Base_de_dados!H306</f>
        <v>3.745318412377787E-2</v>
      </c>
      <c r="D306" s="9">
        <f>Base_de_dados!I306*300</f>
        <v>15000</v>
      </c>
      <c r="E306" s="10">
        <f>Base_de_dados!H306/Base_de_dados!I306</f>
        <v>53.399999139999998</v>
      </c>
      <c r="F306" s="11">
        <f>(D306-Base_de_dados!H306)/Base_de_dados!H306</f>
        <v>4.6179776185666803</v>
      </c>
    </row>
    <row r="307" spans="1:6">
      <c r="A307" s="6" t="str">
        <f>Base_de_dados!A307</f>
        <v>Ad_16</v>
      </c>
      <c r="B307" s="8">
        <f>Base_de_dados!G307/Base_de_dados!F307</f>
        <v>1.2512512512512513E-2</v>
      </c>
      <c r="C307" s="9">
        <f>Base_de_dados!G307/Base_de_dados!H307</f>
        <v>3.5128806755919284E-2</v>
      </c>
      <c r="D307" s="9">
        <f>Base_de_dados!I307*300</f>
        <v>15000</v>
      </c>
      <c r="E307" s="10">
        <f>Base_de_dados!H307/Base_de_dados!I307</f>
        <v>85.39999723999999</v>
      </c>
      <c r="F307" s="11">
        <f>(D307-Base_de_dados!H307)/Base_de_dados!H307</f>
        <v>2.5128806755919282</v>
      </c>
    </row>
    <row r="308" spans="1:6">
      <c r="A308" s="6" t="str">
        <f>Base_de_dados!A308</f>
        <v>Ad_16</v>
      </c>
      <c r="B308" s="8">
        <f>Base_de_dados!G308/Base_de_dados!F308</f>
        <v>1.5501472639900791E-2</v>
      </c>
      <c r="C308" s="9">
        <f>Base_de_dados!G308/Base_de_dados!H308</f>
        <v>3.1645569954067199E-2</v>
      </c>
      <c r="D308" s="9">
        <f>Base_de_dados!I308*300</f>
        <v>30000</v>
      </c>
      <c r="E308" s="10">
        <f>Base_de_dados!H308/Base_de_dados!I308</f>
        <v>94.799998999999985</v>
      </c>
      <c r="F308" s="11">
        <f>(D308-Base_de_dados!H308)/Base_de_dados!H308</f>
        <v>2.1645569954067199</v>
      </c>
    </row>
    <row r="309" spans="1:6">
      <c r="A309" s="6" t="str">
        <f>Base_de_dados!A309</f>
        <v>Ad_16</v>
      </c>
      <c r="B309" s="8">
        <f>Base_de_dados!G309/Base_de_dados!F309</f>
        <v>1.4624159110851126E-2</v>
      </c>
      <c r="C309" s="9">
        <f>Base_de_dados!G309/Base_de_dados!H309</f>
        <v>4.1899442230267488E-2</v>
      </c>
      <c r="D309" s="9">
        <f>Base_de_dados!I309*300</f>
        <v>30000</v>
      </c>
      <c r="E309" s="10">
        <f>Base_de_dados!H309/Base_de_dados!I309</f>
        <v>35.799999240000005</v>
      </c>
      <c r="F309" s="11">
        <f>(D309-Base_de_dados!H309)/Base_de_dados!H309</f>
        <v>7.3798884460534975</v>
      </c>
    </row>
    <row r="310" spans="1:6">
      <c r="A310" s="6" t="str">
        <f>Base_de_dados!A310</f>
        <v>Ad_16</v>
      </c>
      <c r="B310" s="8">
        <f>Base_de_dados!G310/Base_de_dados!F310</f>
        <v>6.7476383265856954E-3</v>
      </c>
      <c r="C310" s="9">
        <f>Base_de_dados!G310/Base_de_dados!H310</f>
        <v>4.1322312751861254E-2</v>
      </c>
      <c r="D310" s="9">
        <f>Base_de_dados!I310*300</f>
        <v>15000</v>
      </c>
      <c r="E310" s="10">
        <f>Base_de_dados!H310/Base_de_dados!I310</f>
        <v>24.200000759999998</v>
      </c>
      <c r="F310" s="11">
        <f>(D310-Base_de_dados!H310)/Base_de_dados!H310</f>
        <v>11.396693825558376</v>
      </c>
    </row>
    <row r="311" spans="1:6">
      <c r="A311" s="6" t="str">
        <f>Base_de_dados!A311</f>
        <v>Ad_16</v>
      </c>
      <c r="B311" s="8">
        <f>Base_de_dados!G311/Base_de_dados!F311</f>
        <v>9.9930048965723994E-3</v>
      </c>
      <c r="C311" s="9">
        <f>Base_de_dados!G311/Base_de_dados!H311</f>
        <v>3.0023589892717244E-2</v>
      </c>
      <c r="D311" s="9">
        <f>Base_de_dados!I311*300</f>
        <v>15000</v>
      </c>
      <c r="E311" s="10">
        <f>Base_de_dados!H311/Base_de_dados!I311</f>
        <v>932.60000220000006</v>
      </c>
      <c r="F311" s="11">
        <f>(D311-Base_de_dados!H311)/Base_de_dados!H311</f>
        <v>-0.67831867972088666</v>
      </c>
    </row>
    <row r="312" spans="1:6">
      <c r="A312" s="6" t="str">
        <f>Base_de_dados!A312</f>
        <v>Ad_16</v>
      </c>
      <c r="B312" s="8">
        <f>Base_de_dados!G312/Base_de_dados!F312</f>
        <v>9.3439605311107163E-3</v>
      </c>
      <c r="C312" s="9">
        <f>Base_de_dados!G312/Base_de_dados!H312</f>
        <v>2.9036004544589999E-2</v>
      </c>
      <c r="D312" s="9">
        <f>Base_de_dados!I312*300</f>
        <v>15000</v>
      </c>
      <c r="E312" s="10">
        <f>Base_de_dados!H312/Base_de_dados!I312</f>
        <v>688.80000239999993</v>
      </c>
      <c r="F312" s="11">
        <f>(D312-Base_de_dados!H312)/Base_de_dados!H312</f>
        <v>-0.56445993183115006</v>
      </c>
    </row>
    <row r="313" spans="1:6">
      <c r="A313" s="6" t="str">
        <f>Base_de_dados!A313</f>
        <v>Ad_16</v>
      </c>
      <c r="B313" s="8">
        <f>Base_de_dados!G313/Base_de_dados!F313</f>
        <v>1.8224895206852561E-2</v>
      </c>
      <c r="C313" s="9">
        <f>Base_de_dados!G313/Base_de_dados!H313</f>
        <v>3.2537961695550101E-2</v>
      </c>
      <c r="D313" s="9">
        <f>Base_de_dados!I313*300</f>
        <v>15000</v>
      </c>
      <c r="E313" s="10">
        <f>Base_de_dados!H313/Base_de_dados!I313</f>
        <v>184.3999958</v>
      </c>
      <c r="F313" s="11">
        <f>(D313-Base_de_dados!H313)/Base_de_dados!H313</f>
        <v>0.62689808477750519</v>
      </c>
    </row>
    <row r="314" spans="1:6">
      <c r="A314" s="6" t="str">
        <f>Base_de_dados!A314</f>
        <v>Ad_16</v>
      </c>
      <c r="B314" s="8">
        <f>Base_de_dados!G314/Base_de_dados!F314</f>
        <v>1.1539349180706208E-2</v>
      </c>
      <c r="C314" s="9">
        <f>Base_de_dados!G314/Base_de_dados!H314</f>
        <v>0.27777776697530909</v>
      </c>
      <c r="D314" s="9">
        <f>Base_de_dados!I314*300</f>
        <v>30000</v>
      </c>
      <c r="E314" s="10">
        <f>Base_de_dados!H314/Base_de_dados!I314</f>
        <v>1.8000000699999998</v>
      </c>
      <c r="F314" s="11">
        <f>(D314-Base_de_dados!H314)/Base_de_dados!H314</f>
        <v>165.66666018518546</v>
      </c>
    </row>
    <row r="315" spans="1:6">
      <c r="A315" s="6" t="str">
        <f>Base_de_dados!A315</f>
        <v>Ad_16</v>
      </c>
      <c r="B315" s="8">
        <f>Base_de_dados!G315/Base_de_dados!F315</f>
        <v>1.4326647564469915E-2</v>
      </c>
      <c r="C315" s="9">
        <f>Base_de_dados!G315/Base_de_dados!H315</f>
        <v>3.7313431916908016E-2</v>
      </c>
      <c r="D315" s="9">
        <f>Base_de_dados!I315*300</f>
        <v>30000</v>
      </c>
      <c r="E315" s="10">
        <f>Base_de_dados!H315/Base_de_dados!I315</f>
        <v>13.400000330000001</v>
      </c>
      <c r="F315" s="11">
        <f>(D315-Base_de_dados!H315)/Base_de_dados!H315</f>
        <v>21.388059150144812</v>
      </c>
    </row>
    <row r="316" spans="1:6">
      <c r="A316" s="6" t="str">
        <f>Base_de_dados!A316</f>
        <v>Ad_16</v>
      </c>
      <c r="B316" s="8">
        <f>Base_de_dados!G316/Base_de_dados!F316</f>
        <v>1.2796232789066898E-2</v>
      </c>
      <c r="C316" s="9">
        <f>Base_de_dados!G316/Base_de_dados!H316</f>
        <v>4.0983607195646345E-2</v>
      </c>
      <c r="D316" s="9">
        <f>Base_de_dados!I316*300</f>
        <v>15000</v>
      </c>
      <c r="E316" s="10">
        <f>Base_de_dados!H316/Base_de_dados!I316</f>
        <v>121.9999981</v>
      </c>
      <c r="F316" s="11">
        <f>(D316-Base_de_dados!H316)/Base_de_dados!H316</f>
        <v>1.4590164317387804</v>
      </c>
    </row>
    <row r="317" spans="1:6">
      <c r="A317" s="6" t="str">
        <f>Base_de_dados!A317</f>
        <v>Ad_16</v>
      </c>
      <c r="B317" s="8">
        <f>Base_de_dados!G317/Base_de_dados!F317</f>
        <v>1.0095401544596436E-2</v>
      </c>
      <c r="C317" s="9">
        <f>Base_de_dados!G317/Base_de_dados!H317</f>
        <v>3.0518820730650993E-2</v>
      </c>
      <c r="D317" s="9">
        <f>Base_de_dados!I317*300</f>
        <v>45000</v>
      </c>
      <c r="E317" s="10">
        <f>Base_de_dados!H317/Base_de_dados!I317</f>
        <v>131.06666326666667</v>
      </c>
      <c r="F317" s="11">
        <f>(D317-Base_de_dados!H317)/Base_de_dados!H317</f>
        <v>1.2889115547988244</v>
      </c>
    </row>
    <row r="318" spans="1:6">
      <c r="A318" s="6" t="str">
        <f>Base_de_dados!A318</f>
        <v>Ad_16</v>
      </c>
      <c r="B318" s="8">
        <f>Base_de_dados!G318/Base_de_dados!F318</f>
        <v>1.0473929437454772E-2</v>
      </c>
      <c r="C318" s="9">
        <f>Base_de_dados!G318/Base_de_dados!H318</f>
        <v>2.9364655230276124E-2</v>
      </c>
      <c r="D318" s="9">
        <f>Base_de_dados!I318*300</f>
        <v>30000</v>
      </c>
      <c r="E318" s="10">
        <f>Base_de_dados!H318/Base_de_dados!I318</f>
        <v>561.90000769999995</v>
      </c>
      <c r="F318" s="11">
        <f>(D318-Base_de_dados!H318)/Base_de_dados!H318</f>
        <v>-0.46609717763134317</v>
      </c>
    </row>
    <row r="319" spans="1:6">
      <c r="A319" s="6" t="str">
        <f>Base_de_dados!A319</f>
        <v>Ad_16</v>
      </c>
      <c r="B319" s="8">
        <f>Base_de_dados!G319/Base_de_dados!F319</f>
        <v>1.1371389583807141E-2</v>
      </c>
      <c r="C319" s="9">
        <f>Base_de_dados!G319/Base_de_dados!H319</f>
        <v>5.2631579612188381E-2</v>
      </c>
      <c r="D319" s="9">
        <f>Base_de_dados!I319*300</f>
        <v>15000</v>
      </c>
      <c r="E319" s="10">
        <f>Base_de_dados!H319/Base_de_dados!I319</f>
        <v>18.999999759999998</v>
      </c>
      <c r="F319" s="11">
        <f>(D319-Base_de_dados!H319)/Base_de_dados!H319</f>
        <v>14.789473883656514</v>
      </c>
    </row>
    <row r="320" spans="1:6">
      <c r="A320" s="6" t="str">
        <f>Base_de_dados!A320</f>
        <v>Ad_16</v>
      </c>
      <c r="B320" s="8">
        <f>Base_de_dados!G320/Base_de_dados!F320</f>
        <v>1.2918783911807768E-2</v>
      </c>
      <c r="C320" s="9">
        <f>Base_de_dados!G320/Base_de_dados!H320</f>
        <v>3.7974683082839293E-2</v>
      </c>
      <c r="D320" s="9">
        <f>Base_de_dados!I320*300</f>
        <v>30000</v>
      </c>
      <c r="E320" s="10">
        <f>Base_de_dados!H320/Base_de_dados!I320</f>
        <v>39.500000480000004</v>
      </c>
      <c r="F320" s="11">
        <f>(D320-Base_de_dados!H320)/Base_de_dados!H320</f>
        <v>6.5949366165678578</v>
      </c>
    </row>
    <row r="321" spans="1:6">
      <c r="A321" s="6" t="str">
        <f>Base_de_dados!A321</f>
        <v>Ad_16</v>
      </c>
      <c r="B321" s="8">
        <f>Base_de_dados!G321/Base_de_dados!F321</f>
        <v>1.6E-2</v>
      </c>
      <c r="C321" s="9">
        <f>Base_de_dados!G321/Base_de_dados!H321</f>
        <v>3.7313433012177918E-2</v>
      </c>
      <c r="D321" s="9">
        <f>Base_de_dados!I321*300</f>
        <v>15000</v>
      </c>
      <c r="E321" s="10">
        <f>Base_de_dados!H321/Base_de_dados!I321</f>
        <v>80.399999620000003</v>
      </c>
      <c r="F321" s="11">
        <f>(D321-Base_de_dados!H321)/Base_de_dados!H321</f>
        <v>2.7313433012177915</v>
      </c>
    </row>
    <row r="322" spans="1:6">
      <c r="A322" s="6" t="str">
        <f>Base_de_dados!A322</f>
        <v>Ad_16</v>
      </c>
      <c r="B322" s="8">
        <f>Base_de_dados!G322/Base_de_dados!F322</f>
        <v>9.0301607368611161E-3</v>
      </c>
      <c r="C322" s="9">
        <f>Base_de_dados!G322/Base_de_dados!H322</f>
        <v>3.289473725328948E-2</v>
      </c>
      <c r="D322" s="9">
        <f>Base_de_dados!I322*300</f>
        <v>15000</v>
      </c>
      <c r="E322" s="10">
        <f>Base_de_dados!H322/Base_de_dados!I322</f>
        <v>30.399999619999999</v>
      </c>
      <c r="F322" s="11">
        <f>(D322-Base_de_dados!H322)/Base_de_dados!H322</f>
        <v>8.8684211759868443</v>
      </c>
    </row>
    <row r="323" spans="1:6">
      <c r="A323" s="6" t="str">
        <f>Base_de_dados!A323</f>
        <v>Ad_16</v>
      </c>
      <c r="B323" s="8">
        <f>Base_de_dados!G323/Base_de_dados!F323</f>
        <v>2.6191723415400735E-2</v>
      </c>
      <c r="C323" s="9">
        <f>Base_de_dados!G323/Base_de_dados!H323</f>
        <v>5.1020407174094153E-2</v>
      </c>
      <c r="D323" s="9">
        <f>Base_de_dados!I323*300</f>
        <v>15000</v>
      </c>
      <c r="E323" s="10">
        <f>Base_de_dados!H323/Base_de_dados!I323</f>
        <v>19.600000379999997</v>
      </c>
      <c r="F323" s="11">
        <f>(D323-Base_de_dados!H323)/Base_de_dados!H323</f>
        <v>14.306122152228246</v>
      </c>
    </row>
    <row r="324" spans="1:6">
      <c r="A324" s="6" t="str">
        <f>Base_de_dados!A324</f>
        <v>Ad_16</v>
      </c>
      <c r="B324" s="8">
        <f>Base_de_dados!G324/Base_de_dados!F324</f>
        <v>8.4832032575500507E-3</v>
      </c>
      <c r="C324" s="9">
        <f>Base_de_dados!G324/Base_de_dados!H324</f>
        <v>3.2467533268679391E-2</v>
      </c>
      <c r="D324" s="9">
        <f>Base_de_dados!I324*300</f>
        <v>30000</v>
      </c>
      <c r="E324" s="10">
        <f>Base_de_dados!H324/Base_de_dados!I324</f>
        <v>15.399999620000001</v>
      </c>
      <c r="F324" s="11">
        <f>(D324-Base_de_dados!H324)/Base_de_dados!H324</f>
        <v>18.480519961207634</v>
      </c>
    </row>
    <row r="325" spans="1:6">
      <c r="A325" s="6" t="str">
        <f>Base_de_dados!A325</f>
        <v>Ad_17</v>
      </c>
      <c r="B325" s="8">
        <f>Base_de_dados!G325/Base_de_dados!F325</f>
        <v>7.2317492658202373E-3</v>
      </c>
      <c r="C325" s="9">
        <f>Base_de_dados!G325/Base_de_dados!H325</f>
        <v>3.5708740895377455E-2</v>
      </c>
      <c r="D325" s="9">
        <f>Base_de_dados!I325*300</f>
        <v>135000</v>
      </c>
      <c r="E325" s="10">
        <f>Base_de_dados!H325/Base_de_dados!I325</f>
        <v>143.13333326666668</v>
      </c>
      <c r="F325" s="11">
        <f>(D325-Base_de_dados!H325)/Base_de_dados!H325</f>
        <v>1.0959478351634595</v>
      </c>
    </row>
    <row r="326" spans="1:6">
      <c r="A326" s="6" t="str">
        <f>Base_de_dados!A326</f>
        <v>Ad_17</v>
      </c>
      <c r="B326" s="8">
        <f>Base_de_dados!G326/Base_de_dados!F326</f>
        <v>7.0417245652908697E-3</v>
      </c>
      <c r="C326" s="9">
        <f>Base_de_dados!G326/Base_de_dados!H326</f>
        <v>3.3921302923215428E-2</v>
      </c>
      <c r="D326" s="9">
        <f>Base_de_dados!I326*300</f>
        <v>195000</v>
      </c>
      <c r="E326" s="10">
        <f>Base_de_dados!H326/Base_de_dados!I326</f>
        <v>68.030768538461544</v>
      </c>
      <c r="F326" s="11">
        <f>(D326-Base_de_dados!H326)/Base_de_dados!H326</f>
        <v>3.4097693800180058</v>
      </c>
    </row>
    <row r="327" spans="1:6">
      <c r="A327" s="6" t="str">
        <f>Base_de_dados!A327</f>
        <v>Ad_17</v>
      </c>
      <c r="B327" s="8">
        <f>Base_de_dados!G327/Base_de_dados!F327</f>
        <v>7.4067977944202125E-3</v>
      </c>
      <c r="C327" s="9">
        <f>Base_de_dados!G327/Base_de_dados!H327</f>
        <v>3.5358826545963389E-2</v>
      </c>
      <c r="D327" s="9">
        <f>Base_de_dados!I327*300</f>
        <v>15000</v>
      </c>
      <c r="E327" s="10">
        <f>Base_de_dados!H327/Base_de_dados!I327</f>
        <v>763.6000014</v>
      </c>
      <c r="F327" s="11">
        <f>(D327-Base_de_dados!H327)/Base_de_dados!H327</f>
        <v>-0.60712414948929572</v>
      </c>
    </row>
    <row r="328" spans="1:6">
      <c r="A328" s="6" t="str">
        <f>Base_de_dados!A328</f>
        <v>Ad_17</v>
      </c>
      <c r="B328" s="8">
        <f>Base_de_dados!G328/Base_de_dados!F328</f>
        <v>7.9203773858458823E-3</v>
      </c>
      <c r="C328" s="9">
        <f>Base_de_dados!G328/Base_de_dados!H328</f>
        <v>3.301622806926896E-2</v>
      </c>
      <c r="D328" s="9">
        <f>Base_de_dados!I328*300</f>
        <v>465000</v>
      </c>
      <c r="E328" s="10">
        <f>Base_de_dados!H328/Base_de_dados!I328</f>
        <v>172.9354851612903</v>
      </c>
      <c r="F328" s="11">
        <f>(D328-Base_de_dados!H328)/Base_de_dados!H328</f>
        <v>0.7347509663514199</v>
      </c>
    </row>
    <row r="329" spans="1:6">
      <c r="A329" s="6" t="str">
        <f>Base_de_dados!A329</f>
        <v>Ad_17</v>
      </c>
      <c r="B329" s="8">
        <f>Base_de_dados!G329/Base_de_dados!F329</f>
        <v>7.7997270095546654E-3</v>
      </c>
      <c r="C329" s="9">
        <f>Base_de_dados!G329/Base_de_dados!H329</f>
        <v>3.3509472753607966E-2</v>
      </c>
      <c r="D329" s="9">
        <f>Base_de_dados!I329*300</f>
        <v>105000</v>
      </c>
      <c r="E329" s="10">
        <f>Base_de_dados!H329/Base_de_dados!I329</f>
        <v>221.68571505714286</v>
      </c>
      <c r="F329" s="11">
        <f>(D329-Base_de_dados!H329)/Base_de_dados!H329</f>
        <v>0.35326716889570642</v>
      </c>
    </row>
    <row r="330" spans="1:6">
      <c r="A330" s="6" t="str">
        <f>Base_de_dados!A330</f>
        <v>Ad_17</v>
      </c>
      <c r="B330" s="8">
        <f>Base_de_dados!G330/Base_de_dados!F330</f>
        <v>5.4361613452687278E-3</v>
      </c>
      <c r="C330" s="9">
        <f>Base_de_dados!G330/Base_de_dados!H330</f>
        <v>3.2064985056903583E-2</v>
      </c>
      <c r="D330" s="9">
        <f>Base_de_dados!I330*300</f>
        <v>75000</v>
      </c>
      <c r="E330" s="10">
        <f>Base_de_dados!H330/Base_de_dados!I330</f>
        <v>187.11999987999999</v>
      </c>
      <c r="F330" s="11">
        <f>(D330-Base_de_dados!H330)/Base_de_dados!H330</f>
        <v>0.60324925284517916</v>
      </c>
    </row>
    <row r="331" spans="1:6">
      <c r="A331" s="6" t="str">
        <f>Base_de_dados!A331</f>
        <v>Ad_17</v>
      </c>
      <c r="B331" s="8">
        <f>Base_de_dados!G331/Base_de_dados!F331</f>
        <v>6.8185101622805422E-3</v>
      </c>
      <c r="C331" s="9">
        <f>Base_de_dados!G331/Base_de_dados!H331</f>
        <v>3.2980669295008314E-2</v>
      </c>
      <c r="D331" s="9">
        <f>Base_de_dados!I331*300</f>
        <v>210000</v>
      </c>
      <c r="E331" s="10">
        <f>Base_de_dados!H331/Base_de_dados!I331</f>
        <v>218.74285357142855</v>
      </c>
      <c r="F331" s="11">
        <f>(D331-Base_de_dados!H331)/Base_de_dados!H331</f>
        <v>0.37147337662410818</v>
      </c>
    </row>
    <row r="332" spans="1:6">
      <c r="A332" s="6" t="str">
        <f>Base_de_dados!A332</f>
        <v>Ad_17</v>
      </c>
      <c r="B332" s="8">
        <f>Base_de_dados!G332/Base_de_dados!F332</f>
        <v>5.3309450699419994E-3</v>
      </c>
      <c r="C332" s="9">
        <f>Base_de_dados!G332/Base_de_dados!H332</f>
        <v>3.125558121425441E-2</v>
      </c>
      <c r="D332" s="9">
        <f>Base_de_dados!I332*300</f>
        <v>45000</v>
      </c>
      <c r="E332" s="10">
        <f>Base_de_dados!H332/Base_de_dados!I332</f>
        <v>373.26666833333337</v>
      </c>
      <c r="F332" s="11">
        <f>(D332-Base_de_dados!H332)/Base_de_dados!H332</f>
        <v>-0.19628505449060082</v>
      </c>
    </row>
    <row r="333" spans="1:6">
      <c r="A333" s="6" t="str">
        <f>Base_de_dados!A333</f>
        <v>Ad_17</v>
      </c>
      <c r="B333" s="8">
        <f>Base_de_dados!G333/Base_de_dados!F333</f>
        <v>5.6036535821355525E-3</v>
      </c>
      <c r="C333" s="9">
        <f>Base_de_dados!G333/Base_de_dados!H333</f>
        <v>3.1705770249170762E-2</v>
      </c>
      <c r="D333" s="9">
        <f>Base_de_dados!I333*300</f>
        <v>150000</v>
      </c>
      <c r="E333" s="10">
        <f>Base_de_dados!H333/Base_de_dados!I333</f>
        <v>63.080000400000003</v>
      </c>
      <c r="F333" s="11">
        <f>(D333-Base_de_dados!H333)/Base_de_dados!H333</f>
        <v>3.7558655373756142</v>
      </c>
    </row>
    <row r="334" spans="1:6">
      <c r="A334" s="6" t="str">
        <f>Base_de_dados!A334</f>
        <v>Ad_17</v>
      </c>
      <c r="B334" s="8">
        <f>Base_de_dados!G334/Base_de_dados!F334</f>
        <v>6.9433423266148228E-3</v>
      </c>
      <c r="C334" s="9">
        <f>Base_de_dados!G334/Base_de_dados!H334</f>
        <v>3.325641396264703E-2</v>
      </c>
      <c r="D334" s="9">
        <f>Base_de_dados!I334*300</f>
        <v>90000</v>
      </c>
      <c r="E334" s="10">
        <f>Base_de_dados!H334/Base_de_dados!I334</f>
        <v>491.13333000000006</v>
      </c>
      <c r="F334" s="11">
        <f>(D334-Base_de_dados!H334)/Base_de_dados!H334</f>
        <v>-0.38916790680852392</v>
      </c>
    </row>
    <row r="335" spans="1:6">
      <c r="A335" s="6" t="str">
        <f>Base_de_dados!A335</f>
        <v>Ad_17</v>
      </c>
      <c r="B335" s="8">
        <f>Base_de_dados!G335/Base_de_dados!F335</f>
        <v>6.5906401322183804E-3</v>
      </c>
      <c r="C335" s="9">
        <f>Base_de_dados!G335/Base_de_dados!H335</f>
        <v>2.8514131353765269E-2</v>
      </c>
      <c r="D335" s="9">
        <f>Base_de_dados!I335*300</f>
        <v>90000</v>
      </c>
      <c r="E335" s="10">
        <f>Base_de_dados!H335/Base_de_dados!I335</f>
        <v>531.90000700000007</v>
      </c>
      <c r="F335" s="11">
        <f>(D335-Base_de_dados!H335)/Base_de_dados!H335</f>
        <v>-0.43598421498046724</v>
      </c>
    </row>
    <row r="336" spans="1:6">
      <c r="A336" s="6" t="str">
        <f>Base_de_dados!A336</f>
        <v>Ad_17</v>
      </c>
      <c r="B336" s="8">
        <f>Base_de_dados!G336/Base_de_dados!F336</f>
        <v>6.6884834009290203E-3</v>
      </c>
      <c r="C336" s="9">
        <f>Base_de_dados!G336/Base_de_dados!H336</f>
        <v>2.9329252866314943E-2</v>
      </c>
      <c r="D336" s="9">
        <f>Base_de_dados!I336*300</f>
        <v>30000</v>
      </c>
      <c r="E336" s="10">
        <f>Base_de_dados!H336/Base_de_dados!I336</f>
        <v>1176.2999949999999</v>
      </c>
      <c r="F336" s="11">
        <f>(D336-Base_de_dados!H336)/Base_de_dados!H336</f>
        <v>-0.74496301855378311</v>
      </c>
    </row>
    <row r="337" spans="1:6">
      <c r="A337" s="6" t="str">
        <f>Base_de_dados!A337</f>
        <v>Ad_17</v>
      </c>
      <c r="B337" s="8">
        <f>Base_de_dados!G337/Base_de_dados!F337</f>
        <v>6.6030939090708203E-3</v>
      </c>
      <c r="C337" s="9">
        <f>Base_de_dados!G337/Base_de_dados!H337</f>
        <v>2.9363879930650726E-2</v>
      </c>
      <c r="D337" s="9">
        <f>Base_de_dados!I337*300</f>
        <v>60000</v>
      </c>
      <c r="E337" s="10">
        <f>Base_de_dados!H337/Base_de_dados!I337</f>
        <v>859.89998800000001</v>
      </c>
      <c r="F337" s="11">
        <f>(D337-Base_de_dados!H337)/Base_de_dados!H337</f>
        <v>-0.65112221864573394</v>
      </c>
    </row>
    <row r="338" spans="1:6">
      <c r="A338" s="6" t="str">
        <f>Base_de_dados!A338</f>
        <v>Ad_17</v>
      </c>
      <c r="B338" s="8">
        <f>Base_de_dados!G338/Base_de_dados!F338</f>
        <v>6.2619546406776578E-3</v>
      </c>
      <c r="C338" s="9">
        <f>Base_de_dados!G338/Base_de_dados!H338</f>
        <v>3.038673969353806E-2</v>
      </c>
      <c r="D338" s="9">
        <f>Base_de_dados!I338*300</f>
        <v>15000</v>
      </c>
      <c r="E338" s="10">
        <f>Base_de_dados!H338/Base_de_dados!I338</f>
        <v>362.0000076</v>
      </c>
      <c r="F338" s="11">
        <f>(D338-Base_de_dados!H338)/Base_de_dados!H338</f>
        <v>-0.17127073563078019</v>
      </c>
    </row>
    <row r="339" spans="1:6">
      <c r="A339" s="6" t="str">
        <f>Base_de_dados!A339</f>
        <v>Ad_17</v>
      </c>
      <c r="B339" s="8">
        <f>Base_de_dados!G339/Base_de_dados!F339</f>
        <v>6.419034577199589E-3</v>
      </c>
      <c r="C339" s="9">
        <f>Base_de_dados!G339/Base_de_dados!H339</f>
        <v>3.4883719380746414E-2</v>
      </c>
      <c r="D339" s="9">
        <f>Base_de_dados!I339*300</f>
        <v>0</v>
      </c>
      <c r="E339" s="10" t="e">
        <f>Base_de_dados!H339/Base_de_dados!I339</f>
        <v>#DIV/0!</v>
      </c>
      <c r="F339" s="11">
        <f>(D339-Base_de_dados!H339)/Base_de_dados!H339</f>
        <v>-1</v>
      </c>
    </row>
    <row r="340" spans="1:6">
      <c r="A340" s="6" t="str">
        <f>Base_de_dados!A340</f>
        <v>Ad_17</v>
      </c>
      <c r="B340" s="8">
        <f>Base_de_dados!G340/Base_de_dados!F340</f>
        <v>6.7949290415267238E-3</v>
      </c>
      <c r="C340" s="9">
        <f>Base_de_dados!G340/Base_de_dados!H340</f>
        <v>3.0250648097447499E-2</v>
      </c>
      <c r="D340" s="9">
        <f>Base_de_dados!I340*300</f>
        <v>0</v>
      </c>
      <c r="E340" s="10" t="e">
        <f>Base_de_dados!H340/Base_de_dados!I340</f>
        <v>#DIV/0!</v>
      </c>
      <c r="F340" s="11">
        <f>(D340-Base_de_dados!H340)/Base_de_dados!H340</f>
        <v>-1</v>
      </c>
    </row>
    <row r="341" spans="1:6">
      <c r="A341" s="6" t="str">
        <f>Base_de_dados!A341</f>
        <v>Ad_17</v>
      </c>
      <c r="B341" s="8">
        <f>Base_de_dados!G341/Base_de_dados!F341</f>
        <v>9.1908596900382566E-3</v>
      </c>
      <c r="C341" s="9">
        <f>Base_de_dados!G341/Base_de_dados!H341</f>
        <v>3.2679738535392369E-2</v>
      </c>
      <c r="D341" s="9">
        <f>Base_de_dados!I341*300</f>
        <v>60000</v>
      </c>
      <c r="E341" s="10">
        <f>Base_de_dados!H341/Base_de_dados!I341</f>
        <v>122.4000001</v>
      </c>
      <c r="F341" s="11">
        <f>(D341-Base_de_dados!H341)/Base_de_dados!H341</f>
        <v>1.4509803901544278</v>
      </c>
    </row>
    <row r="342" spans="1:6">
      <c r="A342" s="6" t="str">
        <f>Base_de_dados!A342</f>
        <v>Ad_17</v>
      </c>
      <c r="B342" s="8">
        <f>Base_de_dados!G342/Base_de_dados!F342</f>
        <v>9.99000999000999E-3</v>
      </c>
      <c r="C342" s="9">
        <f>Base_de_dados!G342/Base_de_dados!H342</f>
        <v>3.3299935521541132E-2</v>
      </c>
      <c r="D342" s="9">
        <f>Base_de_dados!I342*300</f>
        <v>150000</v>
      </c>
      <c r="E342" s="10">
        <f>Base_de_dados!H342/Base_de_dados!I342</f>
        <v>339.33999640000002</v>
      </c>
      <c r="F342" s="11">
        <f>(D342-Base_de_dados!H342)/Base_de_dados!H342</f>
        <v>-0.11593091535731508</v>
      </c>
    </row>
    <row r="343" spans="1:6">
      <c r="A343" s="6" t="str">
        <f>Base_de_dados!A343</f>
        <v>Ad_17</v>
      </c>
      <c r="B343" s="8">
        <f>Base_de_dados!G343/Base_de_dados!F343</f>
        <v>8.4726392862491031E-3</v>
      </c>
      <c r="C343" s="9">
        <f>Base_de_dados!G343/Base_de_dados!H343</f>
        <v>3.4599291732157075E-2</v>
      </c>
      <c r="D343" s="9">
        <f>Base_de_dados!I343*300</f>
        <v>75000</v>
      </c>
      <c r="E343" s="10">
        <f>Base_de_dados!H343/Base_de_dados!I343</f>
        <v>248.56000136</v>
      </c>
      <c r="F343" s="11">
        <f>(D343-Base_de_dados!H343)/Base_de_dados!H343</f>
        <v>0.20695203716827018</v>
      </c>
    </row>
    <row r="344" spans="1:6">
      <c r="A344" s="6" t="str">
        <f>Base_de_dados!A344</f>
        <v>Ad_17</v>
      </c>
      <c r="B344" s="8">
        <f>Base_de_dados!G344/Base_de_dados!F344</f>
        <v>7.9904490632373548E-3</v>
      </c>
      <c r="C344" s="9">
        <f>Base_de_dados!G344/Base_de_dados!H344</f>
        <v>3.3255085963565835E-2</v>
      </c>
      <c r="D344" s="9">
        <f>Base_de_dados!I344*300</f>
        <v>105000</v>
      </c>
      <c r="E344" s="10">
        <f>Base_de_dados!H344/Base_de_dados!I344</f>
        <v>219.08571500000002</v>
      </c>
      <c r="F344" s="11">
        <f>(D344-Base_de_dados!H344)/Base_de_dados!H344</f>
        <v>0.36932706908800489</v>
      </c>
    </row>
    <row r="345" spans="1:6">
      <c r="A345" s="6" t="str">
        <f>Base_de_dados!A345</f>
        <v>Ad_17</v>
      </c>
      <c r="B345" s="8">
        <f>Base_de_dados!G345/Base_de_dados!F345</f>
        <v>9.6926967766564065E-3</v>
      </c>
      <c r="C345" s="9">
        <f>Base_de_dados!G345/Base_de_dados!H345</f>
        <v>3.3307712391888129E-2</v>
      </c>
      <c r="D345" s="9">
        <f>Base_de_dados!I345*300</f>
        <v>225000</v>
      </c>
      <c r="E345" s="10">
        <f>Base_de_dados!H345/Base_de_dados!I345</f>
        <v>260.19999706666664</v>
      </c>
      <c r="F345" s="11">
        <f>(D345-Base_de_dados!H345)/Base_de_dados!H345</f>
        <v>0.15295927510381976</v>
      </c>
    </row>
    <row r="346" spans="1:6">
      <c r="A346" s="6" t="str">
        <f>Base_de_dados!A346</f>
        <v>Ad_17</v>
      </c>
      <c r="B346" s="8">
        <f>Base_de_dados!G346/Base_de_dados!F346</f>
        <v>7.855558278815759E-3</v>
      </c>
      <c r="C346" s="9">
        <f>Base_de_dados!G346/Base_de_dados!H346</f>
        <v>3.2586027001142243E-2</v>
      </c>
      <c r="D346" s="9">
        <f>Base_de_dados!I346*300</f>
        <v>90000</v>
      </c>
      <c r="E346" s="10">
        <f>Base_de_dados!H346/Base_de_dados!I346</f>
        <v>127.8666671</v>
      </c>
      <c r="F346" s="11">
        <f>(D346-Base_de_dados!H346)/Base_de_dados!H346</f>
        <v>1.3461939440822415</v>
      </c>
    </row>
    <row r="347" spans="1:6">
      <c r="A347" s="6" t="str">
        <f>Base_de_dados!A347</f>
        <v>Ad_17</v>
      </c>
      <c r="B347" s="8">
        <f>Base_de_dados!G347/Base_de_dados!F347</f>
        <v>7.2317735201380788E-3</v>
      </c>
      <c r="C347" s="9">
        <f>Base_de_dados!G347/Base_de_dados!H347</f>
        <v>3.0525030910165226E-2</v>
      </c>
      <c r="D347" s="9">
        <f>Base_de_dados!I347*300</f>
        <v>105000</v>
      </c>
      <c r="E347" s="10">
        <f>Base_de_dados!H347/Base_de_dados!I347</f>
        <v>70.199999114285717</v>
      </c>
      <c r="F347" s="11">
        <f>(D347-Base_de_dados!H347)/Base_de_dados!H347</f>
        <v>3.2735043274231317</v>
      </c>
    </row>
    <row r="348" spans="1:6">
      <c r="A348" s="6" t="str">
        <f>Base_de_dados!A348</f>
        <v>Ad_17</v>
      </c>
      <c r="B348" s="8">
        <f>Base_de_dados!G348/Base_de_dados!F348</f>
        <v>8.2845770631358416E-3</v>
      </c>
      <c r="C348" s="9">
        <f>Base_de_dados!G348/Base_de_dados!H348</f>
        <v>3.0237871123825848E-2</v>
      </c>
      <c r="D348" s="9">
        <f>Base_de_dados!I348*300</f>
        <v>210000</v>
      </c>
      <c r="E348" s="10">
        <f>Base_de_dados!H348/Base_de_dados!I348</f>
        <v>106.30000045714284</v>
      </c>
      <c r="F348" s="11">
        <f>(D348-Base_de_dados!H348)/Base_de_dados!H348</f>
        <v>1.8222013048904127</v>
      </c>
    </row>
    <row r="349" spans="1:6">
      <c r="A349" s="6" t="str">
        <f>Base_de_dados!A349</f>
        <v>Ad_17</v>
      </c>
      <c r="B349" s="8">
        <f>Base_de_dados!G349/Base_de_dados!F349</f>
        <v>8.3491968072671417E-3</v>
      </c>
      <c r="C349" s="9">
        <f>Base_de_dados!G349/Base_de_dados!H349</f>
        <v>2.9877503070991272E-2</v>
      </c>
      <c r="D349" s="9">
        <f>Base_de_dados!I349*300</f>
        <v>90000</v>
      </c>
      <c r="E349" s="10">
        <f>Base_de_dados!H349/Base_de_dados!I349</f>
        <v>111.56666356666666</v>
      </c>
      <c r="F349" s="11">
        <f>(D349-Base_de_dados!H349)/Base_de_dados!H349</f>
        <v>1.6889752763892145</v>
      </c>
    </row>
    <row r="350" spans="1:6">
      <c r="A350" s="6" t="str">
        <f>Base_de_dados!A350</f>
        <v>Ad_17</v>
      </c>
      <c r="B350" s="8">
        <f>Base_de_dados!G350/Base_de_dados!F350</f>
        <v>5.6947608200455585E-3</v>
      </c>
      <c r="C350" s="9">
        <f>Base_de_dados!G350/Base_de_dados!H350</f>
        <v>3.5545023452415711E-2</v>
      </c>
      <c r="D350" s="9">
        <f>Base_de_dados!I350*300</f>
        <v>45000</v>
      </c>
      <c r="E350" s="10">
        <f>Base_de_dados!H350/Base_de_dados!I350</f>
        <v>28.133333526666672</v>
      </c>
      <c r="F350" s="11">
        <f>(D350-Base_de_dados!H350)/Base_de_dados!H350</f>
        <v>9.663507035724713</v>
      </c>
    </row>
    <row r="351" spans="1:6">
      <c r="A351" s="6" t="str">
        <f>Base_de_dados!A351</f>
        <v>Ad_17</v>
      </c>
      <c r="B351" s="8">
        <f>Base_de_dados!G351/Base_de_dados!F351</f>
        <v>9.3282327789057564E-3</v>
      </c>
      <c r="C351" s="9">
        <f>Base_de_dados!G351/Base_de_dados!H351</f>
        <v>3.7583801567344206E-2</v>
      </c>
      <c r="D351" s="9">
        <f>Base_de_dados!I351*300</f>
        <v>75000</v>
      </c>
      <c r="E351" s="10">
        <f>Base_de_dados!H351/Base_de_dados!I351</f>
        <v>590.68000240000003</v>
      </c>
      <c r="F351" s="11">
        <f>(D351-Base_de_dados!H351)/Base_de_dados!H351</f>
        <v>-0.49211078963048371</v>
      </c>
    </row>
    <row r="352" spans="1:6">
      <c r="A352" s="6" t="str">
        <f>Base_de_dados!A352</f>
        <v>Ad_17</v>
      </c>
      <c r="B352" s="8">
        <f>Base_de_dados!G352/Base_de_dados!F352</f>
        <v>1.0502787278162281E-2</v>
      </c>
      <c r="C352" s="9">
        <f>Base_de_dados!G352/Base_de_dados!H352</f>
        <v>3.1380752845174824E-2</v>
      </c>
      <c r="D352" s="9">
        <f>Base_de_dados!I352*300</f>
        <v>30000</v>
      </c>
      <c r="E352" s="10">
        <f>Base_de_dados!H352/Base_de_dados!I352</f>
        <v>621.40000580000003</v>
      </c>
      <c r="F352" s="11">
        <f>(D352-Base_de_dados!H352)/Base_de_dados!H352</f>
        <v>-0.5172191869973104</v>
      </c>
    </row>
    <row r="353" spans="1:6">
      <c r="A353" s="6" t="str">
        <f>Base_de_dados!A353</f>
        <v>Ad_17</v>
      </c>
      <c r="B353" s="8">
        <f>Base_de_dados!G353/Base_de_dados!F353</f>
        <v>6.0098561641091387E-3</v>
      </c>
      <c r="C353" s="9">
        <f>Base_de_dados!G353/Base_de_dados!H353</f>
        <v>3.289473639485227E-2</v>
      </c>
      <c r="D353" s="9">
        <f>Base_de_dados!I353*300</f>
        <v>60000</v>
      </c>
      <c r="E353" s="10">
        <f>Base_de_dados!H353/Base_de_dados!I353</f>
        <v>22.800000310000001</v>
      </c>
      <c r="F353" s="11">
        <f>(D353-Base_de_dados!H353)/Base_de_dados!H353</f>
        <v>12.157894557940907</v>
      </c>
    </row>
    <row r="354" spans="1:6">
      <c r="A354" s="6" t="str">
        <f>Base_de_dados!A354</f>
        <v>Ad_17</v>
      </c>
      <c r="B354" s="8">
        <f>Base_de_dados!G354/Base_de_dados!F354</f>
        <v>8.396183022187826E-3</v>
      </c>
      <c r="C354" s="9">
        <f>Base_de_dados!G354/Base_de_dados!H354</f>
        <v>3.2800912889451347E-2</v>
      </c>
      <c r="D354" s="9">
        <f>Base_de_dados!I354*300</f>
        <v>90000</v>
      </c>
      <c r="E354" s="10">
        <f>Base_de_dados!H354/Base_de_dados!I354</f>
        <v>116.86666606666668</v>
      </c>
      <c r="F354" s="11">
        <f>(D354-Base_de_dados!H354)/Base_de_dados!H354</f>
        <v>1.5670279652614096</v>
      </c>
    </row>
    <row r="355" spans="1:6">
      <c r="A355" s="6" t="str">
        <f>Base_de_dados!A355</f>
        <v>Ad_17</v>
      </c>
      <c r="B355" s="8">
        <f>Base_de_dados!G355/Base_de_dados!F355</f>
        <v>8.833265146725184E-3</v>
      </c>
      <c r="C355" s="9">
        <f>Base_de_dados!G355/Base_de_dados!H355</f>
        <v>3.2412145826196309E-2</v>
      </c>
      <c r="D355" s="9">
        <f>Base_de_dados!I355*300</f>
        <v>0</v>
      </c>
      <c r="E355" s="10" t="e">
        <f>Base_de_dados!H355/Base_de_dados!I355</f>
        <v>#DIV/0!</v>
      </c>
      <c r="F355" s="11">
        <f>(D355-Base_de_dados!H355)/Base_de_dados!H355</f>
        <v>-1</v>
      </c>
    </row>
    <row r="356" spans="1:6">
      <c r="A356" s="6" t="str">
        <f>Base_de_dados!A356</f>
        <v>Ad_17</v>
      </c>
      <c r="B356" s="8">
        <f>Base_de_dados!G356/Base_de_dados!F356</f>
        <v>1.0108440632873328E-2</v>
      </c>
      <c r="C356" s="9">
        <f>Base_de_dados!G356/Base_de_dados!H356</f>
        <v>3.5016478899155441E-2</v>
      </c>
      <c r="D356" s="9">
        <f>Base_de_dados!I356*300</f>
        <v>30000</v>
      </c>
      <c r="E356" s="10">
        <f>Base_de_dados!H356/Base_de_dados!I356</f>
        <v>1699.1999730000002</v>
      </c>
      <c r="F356" s="11">
        <f>(D356-Base_de_dados!H356)/Base_de_dados!H356</f>
        <v>-0.8234463248782079</v>
      </c>
    </row>
    <row r="357" spans="1:6">
      <c r="A357" s="6" t="str">
        <f>Base_de_dados!A357</f>
        <v>Ad_17</v>
      </c>
      <c r="B357" s="8">
        <f>Base_de_dados!G357/Base_de_dados!F357</f>
        <v>6.8219983207388748E-3</v>
      </c>
      <c r="C357" s="9">
        <f>Base_de_dados!G357/Base_de_dados!H357</f>
        <v>3.1227480182560653E-2</v>
      </c>
      <c r="D357" s="9">
        <f>Base_de_dados!I357*300</f>
        <v>75000</v>
      </c>
      <c r="E357" s="10">
        <f>Base_de_dados!H357/Base_de_dados!I357</f>
        <v>166.52</v>
      </c>
      <c r="F357" s="11">
        <f>(D357-Base_de_dados!H357)/Base_de_dados!H357</f>
        <v>0.80158539514772997</v>
      </c>
    </row>
    <row r="358" spans="1:6">
      <c r="A358" s="6" t="str">
        <f>Base_de_dados!A358</f>
        <v>Ad_17</v>
      </c>
      <c r="B358" s="8">
        <f>Base_de_dados!G358/Base_de_dados!F358</f>
        <v>6.5664281311141491E-3</v>
      </c>
      <c r="C358" s="9">
        <f>Base_de_dados!G358/Base_de_dados!H358</f>
        <v>3.2364596768862705E-2</v>
      </c>
      <c r="D358" s="9">
        <f>Base_de_dados!I358*300</f>
        <v>75000</v>
      </c>
      <c r="E358" s="10">
        <f>Base_de_dados!H358/Base_de_dados!I358</f>
        <v>302.80000303999998</v>
      </c>
      <c r="F358" s="11">
        <f>(D358-Base_de_dados!H358)/Base_de_dados!H358</f>
        <v>-9.2470376878764429E-3</v>
      </c>
    </row>
    <row r="359" spans="1:6">
      <c r="A359" s="6" t="str">
        <f>Base_de_dados!A359</f>
        <v>Ad_17</v>
      </c>
      <c r="B359" s="8">
        <f>Base_de_dados!G359/Base_de_dados!F359</f>
        <v>9.0846324357716484E-3</v>
      </c>
      <c r="C359" s="9">
        <f>Base_de_dados!G359/Base_de_dados!H359</f>
        <v>3.3142278081865713E-2</v>
      </c>
      <c r="D359" s="9">
        <f>Base_de_dados!I359*300</f>
        <v>360000</v>
      </c>
      <c r="E359" s="10">
        <f>Base_de_dados!H359/Base_de_dados!I359</f>
        <v>213.72499850000003</v>
      </c>
      <c r="F359" s="11">
        <f>(D359-Base_de_dados!H359)/Base_de_dados!H359</f>
        <v>0.40367295405548903</v>
      </c>
    </row>
    <row r="360" spans="1:6">
      <c r="A360" s="6" t="str">
        <f>Base_de_dados!A360</f>
        <v>Ad_17</v>
      </c>
      <c r="B360" s="8">
        <f>Base_de_dados!G360/Base_de_dados!F360</f>
        <v>9.4680017523674498E-3</v>
      </c>
      <c r="C360" s="9">
        <f>Base_de_dados!G360/Base_de_dados!H360</f>
        <v>3.4378572415463937E-2</v>
      </c>
      <c r="D360" s="9">
        <f>Base_de_dados!I360*300</f>
        <v>750000</v>
      </c>
      <c r="E360" s="10">
        <f>Base_de_dados!H360/Base_de_dados!I360</f>
        <v>244.92000128000001</v>
      </c>
      <c r="F360" s="11">
        <f>(D360-Base_de_dados!H360)/Base_de_dados!H360</f>
        <v>0.22488975352009269</v>
      </c>
    </row>
    <row r="361" spans="1:6">
      <c r="A361" s="6" t="str">
        <f>Base_de_dados!A361</f>
        <v>Ad_17</v>
      </c>
      <c r="B361" s="8">
        <f>Base_de_dados!G361/Base_de_dados!F361</f>
        <v>7.4845008461644014E-3</v>
      </c>
      <c r="C361" s="9">
        <f>Base_de_dados!G361/Base_de_dados!H361</f>
        <v>3.4722221639499756E-2</v>
      </c>
      <c r="D361" s="9">
        <f>Base_de_dados!I361*300</f>
        <v>60000</v>
      </c>
      <c r="E361" s="10">
        <f>Base_de_dados!H361/Base_de_dados!I361</f>
        <v>259.20000434999997</v>
      </c>
      <c r="F361" s="11">
        <f>(D361-Base_de_dados!H361)/Base_de_dados!H361</f>
        <v>0.15740738798332518</v>
      </c>
    </row>
    <row r="362" spans="1:6">
      <c r="A362" s="6" t="str">
        <f>Base_de_dados!A362</f>
        <v>Ad_17</v>
      </c>
      <c r="B362" s="8">
        <f>Base_de_dados!G362/Base_de_dados!F362</f>
        <v>7.1158225121545939E-3</v>
      </c>
      <c r="C362" s="9">
        <f>Base_de_dados!G362/Base_de_dados!H362</f>
        <v>3.3765285512811515E-2</v>
      </c>
      <c r="D362" s="9">
        <f>Base_de_dados!I362*300</f>
        <v>150000</v>
      </c>
      <c r="E362" s="10">
        <f>Base_de_dados!H362/Base_de_dados!I362</f>
        <v>109.5800004</v>
      </c>
      <c r="F362" s="11">
        <f>(D362-Base_de_dados!H362)/Base_de_dados!H362</f>
        <v>1.7377258523901227</v>
      </c>
    </row>
    <row r="363" spans="1:6">
      <c r="A363" s="6" t="str">
        <f>Base_de_dados!A363</f>
        <v>Ad_17</v>
      </c>
      <c r="B363" s="8">
        <f>Base_de_dados!G363/Base_de_dados!F363</f>
        <v>1.0464974472054397E-2</v>
      </c>
      <c r="C363" s="9">
        <f>Base_de_dados!G363/Base_de_dados!H363</f>
        <v>3.5464953725412147E-2</v>
      </c>
      <c r="D363" s="9">
        <f>Base_de_dados!I363*300</f>
        <v>210000</v>
      </c>
      <c r="E363" s="10">
        <f>Base_de_dados!H363/Base_de_dados!I363</f>
        <v>255.78571571428574</v>
      </c>
      <c r="F363" s="11">
        <f>(D363-Base_de_dados!H363)/Base_de_dados!H363</f>
        <v>0.1728567373758349</v>
      </c>
    </row>
    <row r="364" spans="1:6">
      <c r="A364" s="6" t="str">
        <f>Base_de_dados!A364</f>
        <v>Ad_17</v>
      </c>
      <c r="B364" s="8">
        <f>Base_de_dados!G364/Base_de_dados!F364</f>
        <v>7.8059325087066174E-3</v>
      </c>
      <c r="C364" s="9">
        <f>Base_de_dados!G364/Base_de_dados!H364</f>
        <v>3.6640360745974994E-2</v>
      </c>
      <c r="D364" s="9">
        <f>Base_de_dados!I364*300</f>
        <v>0</v>
      </c>
      <c r="E364" s="10" t="e">
        <f>Base_de_dados!H364/Base_de_dados!I364</f>
        <v>#DIV/0!</v>
      </c>
      <c r="F364" s="11">
        <f>(D364-Base_de_dados!H364)/Base_de_dados!H364</f>
        <v>-1</v>
      </c>
    </row>
    <row r="365" spans="1:6">
      <c r="A365" s="6" t="str">
        <f>Base_de_dados!A365</f>
        <v>Ad_17</v>
      </c>
      <c r="B365" s="8">
        <f>Base_de_dados!G365/Base_de_dados!F365</f>
        <v>1.126515226030236E-2</v>
      </c>
      <c r="C365" s="9">
        <f>Base_de_dados!G365/Base_de_dados!H365</f>
        <v>3.5664857159480388E-2</v>
      </c>
      <c r="D365" s="9">
        <f>Base_de_dados!I365*300</f>
        <v>180000</v>
      </c>
      <c r="E365" s="10">
        <f>Base_de_dados!H365/Base_de_dados!I365</f>
        <v>626.19999383333334</v>
      </c>
      <c r="F365" s="11">
        <f>(D365-Base_de_dados!H365)/Base_de_dados!H365</f>
        <v>-0.52091982920100965</v>
      </c>
    </row>
    <row r="366" spans="1:6">
      <c r="A366" s="6" t="str">
        <f>Base_de_dados!A366</f>
        <v>Ad_17</v>
      </c>
      <c r="B366" s="8">
        <f>Base_de_dados!G366/Base_de_dados!F366</f>
        <v>4.3588178885886151E-3</v>
      </c>
      <c r="C366" s="9">
        <f>Base_de_dados!G366/Base_de_dados!H366</f>
        <v>3.1847132703152294E-2</v>
      </c>
      <c r="D366" s="9">
        <f>Base_de_dados!I366*300</f>
        <v>30000</v>
      </c>
      <c r="E366" s="10">
        <f>Base_de_dados!H366/Base_de_dados!I366</f>
        <v>15.700000519999998</v>
      </c>
      <c r="F366" s="11">
        <f>(D366-Base_de_dados!H366)/Base_de_dados!H366</f>
        <v>18.108279621891377</v>
      </c>
    </row>
    <row r="367" spans="1:6">
      <c r="A367" s="6" t="str">
        <f>Base_de_dados!A367</f>
        <v>Ad_17</v>
      </c>
      <c r="B367" s="8">
        <f>Base_de_dados!G367/Base_de_dados!F367</f>
        <v>8.6497783897455261E-3</v>
      </c>
      <c r="C367" s="9">
        <f>Base_de_dados!G367/Base_de_dados!H367</f>
        <v>3.4343857840302999E-2</v>
      </c>
      <c r="D367" s="9">
        <f>Base_de_dados!I367*300</f>
        <v>495000</v>
      </c>
      <c r="E367" s="10">
        <f>Base_de_dados!H367/Base_de_dados!I367</f>
        <v>260.29090793939395</v>
      </c>
      <c r="F367" s="11">
        <f>(D367-Base_de_dados!H367)/Base_de_dados!H367</f>
        <v>0.15255658514915141</v>
      </c>
    </row>
    <row r="368" spans="1:6">
      <c r="A368" s="6" t="str">
        <f>Base_de_dados!A368</f>
        <v>Ad_17</v>
      </c>
      <c r="B368" s="8">
        <f>Base_de_dados!G368/Base_de_dados!F368</f>
        <v>7.5355967235703897E-3</v>
      </c>
      <c r="C368" s="9">
        <f>Base_de_dados!G368/Base_de_dados!H368</f>
        <v>3.2863849593824469E-2</v>
      </c>
      <c r="D368" s="9">
        <f>Base_de_dados!I368*300</f>
        <v>90000</v>
      </c>
      <c r="E368" s="10">
        <f>Base_de_dados!H368/Base_de_dados!I368</f>
        <v>319.50000166666666</v>
      </c>
      <c r="F368" s="11">
        <f>(D368-Base_de_dados!H368)/Base_de_dados!H368</f>
        <v>-6.103286874787231E-2</v>
      </c>
    </row>
    <row r="369" spans="1:6">
      <c r="A369" s="6" t="str">
        <f>Base_de_dados!A369</f>
        <v>Ad_17</v>
      </c>
      <c r="B369" s="8">
        <f>Base_de_dados!G369/Base_de_dados!F369</f>
        <v>4.9742994528270603E-3</v>
      </c>
      <c r="C369" s="9">
        <f>Base_de_dados!G369/Base_de_dados!H369</f>
        <v>3.9267016395520965E-2</v>
      </c>
      <c r="D369" s="9">
        <f>Base_de_dados!I369*300</f>
        <v>0</v>
      </c>
      <c r="E369" s="10" t="e">
        <f>Base_de_dados!H369/Base_de_dados!I369</f>
        <v>#DIV/0!</v>
      </c>
      <c r="F369" s="11">
        <f>(D369-Base_de_dados!H369)/Base_de_dados!H369</f>
        <v>-1</v>
      </c>
    </row>
    <row r="370" spans="1:6">
      <c r="A370" s="6" t="str">
        <f>Base_de_dados!A370</f>
        <v>Ad_17</v>
      </c>
      <c r="B370" s="8">
        <f>Base_de_dados!G370/Base_de_dados!F370</f>
        <v>7.7241206618713174E-3</v>
      </c>
      <c r="C370" s="9">
        <f>Base_de_dados!G370/Base_de_dados!H370</f>
        <v>3.3768870958837717E-2</v>
      </c>
      <c r="D370" s="9">
        <f>Base_de_dados!I370*300</f>
        <v>270000</v>
      </c>
      <c r="E370" s="10">
        <f>Base_de_dados!H370/Base_de_dados!I370</f>
        <v>251.71111022222223</v>
      </c>
      <c r="F370" s="11">
        <f>(D370-Base_de_dados!H370)/Base_de_dados!H370</f>
        <v>0.19184250442956644</v>
      </c>
    </row>
    <row r="371" spans="1:6">
      <c r="A371" s="6" t="str">
        <f>Base_de_dados!A371</f>
        <v>Ad_17</v>
      </c>
      <c r="B371" s="8">
        <f>Base_de_dados!G371/Base_de_dados!F371</f>
        <v>9.06821430857533E-3</v>
      </c>
      <c r="C371" s="9">
        <f>Base_de_dados!G371/Base_de_dados!H371</f>
        <v>3.3517349748013472E-2</v>
      </c>
      <c r="D371" s="9">
        <f>Base_de_dados!I371*300</f>
        <v>0</v>
      </c>
      <c r="E371" s="10" t="e">
        <f>Base_de_dados!H371/Base_de_dados!I371</f>
        <v>#DIV/0!</v>
      </c>
      <c r="F371" s="11">
        <f>(D371-Base_de_dados!H371)/Base_de_dados!H371</f>
        <v>-1</v>
      </c>
    </row>
    <row r="372" spans="1:6">
      <c r="A372" s="6" t="str">
        <f>Base_de_dados!A372</f>
        <v>Ad_17</v>
      </c>
      <c r="B372" s="8">
        <f>Base_de_dados!G372/Base_de_dados!F372</f>
        <v>7.921229374798968E-3</v>
      </c>
      <c r="C372" s="9">
        <f>Base_de_dados!G372/Base_de_dados!H372</f>
        <v>3.023639312973447E-2</v>
      </c>
      <c r="D372" s="9">
        <f>Base_de_dados!I372*300</f>
        <v>0</v>
      </c>
      <c r="E372" s="10" t="e">
        <f>Base_de_dados!H372/Base_de_dados!I372</f>
        <v>#DIV/0!</v>
      </c>
      <c r="F372" s="11">
        <f>(D372-Base_de_dados!H372)/Base_de_dados!H372</f>
        <v>-1</v>
      </c>
    </row>
    <row r="373" spans="1:6">
      <c r="A373" s="6" t="str">
        <f>Base_de_dados!A373</f>
        <v>Ad_17</v>
      </c>
      <c r="B373" s="8">
        <f>Base_de_dados!G373/Base_de_dados!F373</f>
        <v>7.854225573358466E-3</v>
      </c>
      <c r="C373" s="9">
        <f>Base_de_dados!G373/Base_de_dados!H373</f>
        <v>3.1720855972595809E-2</v>
      </c>
      <c r="D373" s="9">
        <f>Base_de_dados!I373*300</f>
        <v>30000</v>
      </c>
      <c r="E373" s="10">
        <f>Base_de_dados!H373/Base_de_dados!I373</f>
        <v>252.20000389999998</v>
      </c>
      <c r="F373" s="11">
        <f>(D373-Base_de_dados!H373)/Base_de_dados!H373</f>
        <v>0.18953209897234277</v>
      </c>
    </row>
    <row r="374" spans="1:6">
      <c r="A374" s="6" t="str">
        <f>Base_de_dados!A374</f>
        <v>Ad_17</v>
      </c>
      <c r="B374" s="8">
        <f>Base_de_dados!G374/Base_de_dados!F374</f>
        <v>7.1523449473791766E-3</v>
      </c>
      <c r="C374" s="9">
        <f>Base_de_dados!G374/Base_de_dados!H374</f>
        <v>3.5105315007711226E-2</v>
      </c>
      <c r="D374" s="9">
        <f>Base_de_dados!I374*300</f>
        <v>15000</v>
      </c>
      <c r="E374" s="10">
        <f>Base_de_dados!H374/Base_de_dados!I374</f>
        <v>199.40000533999998</v>
      </c>
      <c r="F374" s="11">
        <f>(D374-Base_de_dados!H374)/Base_de_dados!H374</f>
        <v>0.50451350033048104</v>
      </c>
    </row>
    <row r="375" spans="1:6">
      <c r="A375" s="6" t="str">
        <f>Base_de_dados!A375</f>
        <v>Ad_17</v>
      </c>
      <c r="B375" s="8">
        <f>Base_de_dados!G375/Base_de_dados!F375</f>
        <v>3.5942779095679677E-3</v>
      </c>
      <c r="C375" s="9">
        <f>Base_de_dados!G375/Base_de_dados!H375</f>
        <v>2.8901733786628355E-2</v>
      </c>
      <c r="D375" s="9">
        <f>Base_de_dados!I375*300</f>
        <v>15000</v>
      </c>
      <c r="E375" s="10">
        <f>Base_de_dados!H375/Base_de_dados!I375</f>
        <v>34.600000380000004</v>
      </c>
      <c r="F375" s="11">
        <f>(D375-Base_de_dados!H375)/Base_de_dados!H375</f>
        <v>7.6705201359885073</v>
      </c>
    </row>
    <row r="376" spans="1:6">
      <c r="A376" s="6" t="str">
        <f>Base_de_dados!A376</f>
        <v>Ad_17</v>
      </c>
      <c r="B376" s="8">
        <f>Base_de_dados!G376/Base_de_dados!F376</f>
        <v>7.5235575288337903E-3</v>
      </c>
      <c r="C376" s="9">
        <f>Base_de_dados!G376/Base_de_dados!H376</f>
        <v>3.127792623748428E-2</v>
      </c>
      <c r="D376" s="9">
        <f>Base_de_dados!I376*300</f>
        <v>195000</v>
      </c>
      <c r="E376" s="10">
        <f>Base_de_dados!H376/Base_de_dados!I376</f>
        <v>189.36923369230769</v>
      </c>
      <c r="F376" s="11">
        <f>(D376-Base_de_dados!H376)/Base_de_dados!H376</f>
        <v>0.58420665358686619</v>
      </c>
    </row>
    <row r="377" spans="1:6">
      <c r="A377" s="6" t="str">
        <f>Base_de_dados!A377</f>
        <v>Ad_17</v>
      </c>
      <c r="B377" s="8">
        <f>Base_de_dados!G377/Base_de_dados!F377</f>
        <v>6.7623920834930006E-3</v>
      </c>
      <c r="C377" s="9">
        <f>Base_de_dados!G377/Base_de_dados!H377</f>
        <v>3.1720856328962807E-2</v>
      </c>
      <c r="D377" s="9">
        <f>Base_de_dados!I377*300</f>
        <v>75000</v>
      </c>
      <c r="E377" s="10">
        <f>Base_de_dados!H377/Base_de_dados!I377</f>
        <v>151.32000063999999</v>
      </c>
      <c r="F377" s="11">
        <f>(D377-Base_de_dados!H377)/Base_de_dados!H377</f>
        <v>0.98255352056017564</v>
      </c>
    </row>
    <row r="378" spans="1:6">
      <c r="A378" s="6" t="str">
        <f>Base_de_dados!A378</f>
        <v>Ad_17</v>
      </c>
      <c r="B378" s="8">
        <f>Base_de_dados!G378/Base_de_dados!F378</f>
        <v>6.6752109366655984E-3</v>
      </c>
      <c r="C378" s="9">
        <f>Base_de_dados!G378/Base_de_dados!H378</f>
        <v>3.026634440277836E-2</v>
      </c>
      <c r="D378" s="9">
        <f>Base_de_dados!I378*300</f>
        <v>0</v>
      </c>
      <c r="E378" s="10" t="e">
        <f>Base_de_dados!H378/Base_de_dados!I378</f>
        <v>#DIV/0!</v>
      </c>
      <c r="F378" s="11">
        <f>(D378-Base_de_dados!H378)/Base_de_dados!H378</f>
        <v>-1</v>
      </c>
    </row>
    <row r="379" spans="1:6">
      <c r="A379" s="6" t="str">
        <f>Base_de_dados!A379</f>
        <v>Ad_17</v>
      </c>
      <c r="B379" s="8">
        <f>Base_de_dados!G379/Base_de_dados!F379</f>
        <v>7.6856271087439379E-3</v>
      </c>
      <c r="C379" s="9">
        <f>Base_de_dados!G379/Base_de_dados!H379</f>
        <v>2.8565987512567094E-2</v>
      </c>
      <c r="D379" s="9">
        <f>Base_de_dados!I379*300</f>
        <v>225000</v>
      </c>
      <c r="E379" s="10">
        <f>Base_de_dados!H379/Base_de_dados!I379</f>
        <v>140.02666626666667</v>
      </c>
      <c r="F379" s="11">
        <f>(D379-Base_de_dados!H379)/Base_de_dados!H379</f>
        <v>1.1424490634425322</v>
      </c>
    </row>
    <row r="380" spans="1:6">
      <c r="A380" s="6" t="str">
        <f>Base_de_dados!A380</f>
        <v>Ad_17</v>
      </c>
      <c r="B380" s="8">
        <f>Base_de_dados!G380/Base_de_dados!F380</f>
        <v>5.0840133201148991E-3</v>
      </c>
      <c r="C380" s="9">
        <f>Base_de_dados!G380/Base_de_dados!H380</f>
        <v>3.3726813111938328E-2</v>
      </c>
      <c r="D380" s="9">
        <f>Base_de_dados!I380*300</f>
        <v>60000</v>
      </c>
      <c r="E380" s="10">
        <f>Base_de_dados!H380/Base_de_dados!I380</f>
        <v>29.649999739999998</v>
      </c>
      <c r="F380" s="11">
        <f>(D380-Base_de_dados!H380)/Base_de_dados!H380</f>
        <v>9.1180439335814985</v>
      </c>
    </row>
    <row r="381" spans="1:6">
      <c r="A381" s="6" t="str">
        <f>Base_de_dados!A381</f>
        <v>Ad_17</v>
      </c>
      <c r="B381" s="8">
        <f>Base_de_dados!G381/Base_de_dados!F381</f>
        <v>4.0171935885590327E-3</v>
      </c>
      <c r="C381" s="9">
        <f>Base_de_dados!G381/Base_de_dados!H381</f>
        <v>2.6666666666666668E-2</v>
      </c>
      <c r="D381" s="9">
        <f>Base_de_dados!I381*300</f>
        <v>15000</v>
      </c>
      <c r="E381" s="10">
        <f>Base_de_dados!H381/Base_de_dados!I381</f>
        <v>75</v>
      </c>
      <c r="F381" s="11">
        <f>(D381-Base_de_dados!H381)/Base_de_dados!H381</f>
        <v>3</v>
      </c>
    </row>
    <row r="382" spans="1:6">
      <c r="A382" s="6" t="str">
        <f>Base_de_dados!A382</f>
        <v>Ad_17</v>
      </c>
      <c r="B382" s="8">
        <f>Base_de_dados!G382/Base_de_dados!F382</f>
        <v>8.1778197469659138E-3</v>
      </c>
      <c r="C382" s="9">
        <f>Base_de_dados!G382/Base_de_dados!H382</f>
        <v>3.088038272134867E-2</v>
      </c>
      <c r="D382" s="9">
        <f>Base_de_dados!I382*300</f>
        <v>300000</v>
      </c>
      <c r="E382" s="10">
        <f>Base_de_dados!H382/Base_de_dados!I382</f>
        <v>343.25999439999998</v>
      </c>
      <c r="F382" s="11">
        <f>(D382-Base_de_dados!H382)/Base_de_dados!H382</f>
        <v>-0.12602690411277351</v>
      </c>
    </row>
    <row r="383" spans="1:6">
      <c r="A383" s="6" t="str">
        <f>Base_de_dados!A383</f>
        <v>Ad_17</v>
      </c>
      <c r="B383" s="8">
        <f>Base_de_dados!G383/Base_de_dados!F383</f>
        <v>6.5497178163240804E-3</v>
      </c>
      <c r="C383" s="9">
        <f>Base_de_dados!G383/Base_de_dados!H383</f>
        <v>3.1266285011979443E-2</v>
      </c>
      <c r="D383" s="9">
        <f>Base_de_dados!I383*300</f>
        <v>15000</v>
      </c>
      <c r="E383" s="10">
        <f>Base_de_dados!H383/Base_de_dados!I383</f>
        <v>383.79999400000003</v>
      </c>
      <c r="F383" s="11">
        <f>(D383-Base_de_dados!H383)/Base_de_dados!H383</f>
        <v>-0.21834287470051394</v>
      </c>
    </row>
    <row r="384" spans="1:6">
      <c r="A384" s="6" t="str">
        <f>Base_de_dados!A384</f>
        <v>Ad_17</v>
      </c>
      <c r="B384" s="8">
        <f>Base_de_dados!G384/Base_de_dados!F384</f>
        <v>7.9819859180964223E-3</v>
      </c>
      <c r="C384" s="9">
        <f>Base_de_dados!G384/Base_de_dados!H384</f>
        <v>3.1132231218954767E-2</v>
      </c>
      <c r="D384" s="9">
        <f>Base_de_dados!I384*300</f>
        <v>165000</v>
      </c>
      <c r="E384" s="10">
        <f>Base_de_dados!H384/Base_de_dados!I384</f>
        <v>110.96363220000001</v>
      </c>
      <c r="F384" s="11">
        <f>(D384-Base_de_dados!H384)/Base_de_dados!H384</f>
        <v>1.7035885005934404</v>
      </c>
    </row>
    <row r="385" spans="1:6">
      <c r="A385" s="6" t="str">
        <f>Base_de_dados!A385</f>
        <v>Ad_17</v>
      </c>
      <c r="B385" s="8">
        <f>Base_de_dados!G385/Base_de_dados!F385</f>
        <v>6.8804453810587234E-3</v>
      </c>
      <c r="C385" s="9">
        <f>Base_de_dados!G385/Base_de_dados!H385</f>
        <v>3.1155421065448049E-2</v>
      </c>
      <c r="D385" s="9">
        <f>Base_de_dados!I385*300</f>
        <v>45000</v>
      </c>
      <c r="E385" s="10">
        <f>Base_de_dados!H385/Base_de_dados!I385</f>
        <v>374.46666640000001</v>
      </c>
      <c r="F385" s="11">
        <f>(D385-Base_de_dados!H385)/Base_de_dados!H385</f>
        <v>-0.19886060117419307</v>
      </c>
    </row>
    <row r="386" spans="1:6">
      <c r="A386" s="6" t="str">
        <f>Base_de_dados!A386</f>
        <v>Ad_17</v>
      </c>
      <c r="B386" s="8">
        <f>Base_de_dados!G386/Base_de_dados!F386</f>
        <v>7.2920960020291048E-3</v>
      </c>
      <c r="C386" s="9">
        <f>Base_de_dados!G386/Base_de_dados!H386</f>
        <v>2.9314300086114759E-2</v>
      </c>
      <c r="D386" s="9">
        <f>Base_de_dados!I386*300</f>
        <v>45000</v>
      </c>
      <c r="E386" s="10">
        <f>Base_de_dados!H386/Base_de_dados!I386</f>
        <v>261.53333506666667</v>
      </c>
      <c r="F386" s="11">
        <f>(D386-Base_de_dados!H386)/Base_de_dados!H386</f>
        <v>0.147081307717534</v>
      </c>
    </row>
    <row r="387" spans="1:6">
      <c r="A387" s="6" t="str">
        <f>Base_de_dados!A387</f>
        <v>Ad_17</v>
      </c>
      <c r="B387" s="8">
        <f>Base_de_dados!G387/Base_de_dados!F387</f>
        <v>7.2891433069871298E-3</v>
      </c>
      <c r="C387" s="9">
        <f>Base_de_dados!G387/Base_de_dados!H387</f>
        <v>3.0248034365767847E-2</v>
      </c>
      <c r="D387" s="9">
        <f>Base_de_dados!I387*300</f>
        <v>195000</v>
      </c>
      <c r="E387" s="10">
        <f>Base_de_dados!H387/Base_de_dados!I387</f>
        <v>152.58461292307692</v>
      </c>
      <c r="F387" s="11">
        <f>(D387-Base_de_dados!H387)/Base_de_dados!H387</f>
        <v>0.96612223377491002</v>
      </c>
    </row>
    <row r="388" spans="1:6">
      <c r="A388" s="6" t="str">
        <f>Base_de_dados!A388</f>
        <v>Ad_17</v>
      </c>
      <c r="B388" s="8">
        <f>Base_de_dados!G388/Base_de_dados!F388</f>
        <v>5.8426106909152719E-3</v>
      </c>
      <c r="C388" s="9">
        <f>Base_de_dados!G388/Base_de_dados!H388</f>
        <v>3.3992584045602556E-2</v>
      </c>
      <c r="D388" s="9">
        <f>Base_de_dados!I388*300</f>
        <v>15000</v>
      </c>
      <c r="E388" s="10">
        <f>Base_de_dados!H388/Base_de_dados!I388</f>
        <v>323.59999420000003</v>
      </c>
      <c r="F388" s="11">
        <f>(D388-Base_de_dados!H388)/Base_de_dados!H388</f>
        <v>-7.2929526029021169E-2</v>
      </c>
    </row>
    <row r="389" spans="1:6">
      <c r="A389" s="6" t="str">
        <f>Base_de_dados!A389</f>
        <v>Ad_17</v>
      </c>
      <c r="B389" s="8">
        <f>Base_de_dados!G389/Base_de_dados!F389</f>
        <v>9.6805421103581795E-3</v>
      </c>
      <c r="C389" s="9">
        <f>Base_de_dados!G389/Base_de_dados!H389</f>
        <v>3.3375051605495615E-2</v>
      </c>
      <c r="D389" s="9">
        <f>Base_de_dados!I389*300</f>
        <v>15000</v>
      </c>
      <c r="E389" s="10">
        <f>Base_de_dados!H389/Base_de_dados!I389</f>
        <v>479.40000779999997</v>
      </c>
      <c r="F389" s="11">
        <f>(D389-Base_de_dados!H389)/Base_de_dados!H389</f>
        <v>-0.37421778239695719</v>
      </c>
    </row>
    <row r="390" spans="1:6">
      <c r="A390" s="6" t="str">
        <f>Base_de_dados!A390</f>
        <v>Ad_17</v>
      </c>
      <c r="B390" s="8">
        <f>Base_de_dados!G390/Base_de_dados!F390</f>
        <v>5.5959709009513149E-3</v>
      </c>
      <c r="C390" s="9">
        <f>Base_de_dados!G390/Base_de_dados!H390</f>
        <v>3.8167938858458136E-2</v>
      </c>
      <c r="D390" s="9">
        <f>Base_de_dados!I390*300</f>
        <v>30000</v>
      </c>
      <c r="E390" s="10">
        <f>Base_de_dados!H390/Base_de_dados!I390</f>
        <v>26.20000005</v>
      </c>
      <c r="F390" s="11">
        <f>(D390-Base_de_dados!H390)/Base_de_dados!H390</f>
        <v>10.45038165753744</v>
      </c>
    </row>
    <row r="391" spans="1:6">
      <c r="A391" s="6" t="str">
        <f>Base_de_dados!A391</f>
        <v>Ad_17</v>
      </c>
      <c r="B391" s="8">
        <f>Base_de_dados!G391/Base_de_dados!F391</f>
        <v>5.2143080613202631E-3</v>
      </c>
      <c r="C391" s="9">
        <f>Base_de_dados!G391/Base_de_dados!H391</f>
        <v>3.5971223396822113E-2</v>
      </c>
      <c r="D391" s="9">
        <f>Base_de_dados!I391*300</f>
        <v>75000</v>
      </c>
      <c r="E391" s="10">
        <f>Base_de_dados!H391/Base_de_dados!I391</f>
        <v>11.119999884</v>
      </c>
      <c r="F391" s="11">
        <f>(D391-Base_de_dados!H391)/Base_de_dados!H391</f>
        <v>25.978417547616584</v>
      </c>
    </row>
    <row r="392" spans="1:6">
      <c r="A392" s="6" t="str">
        <f>Base_de_dados!A392</f>
        <v>Ad_17</v>
      </c>
      <c r="B392" s="8">
        <f>Base_de_dados!G392/Base_de_dados!F392</f>
        <v>9.6188199082089757E-3</v>
      </c>
      <c r="C392" s="9">
        <f>Base_de_dados!G392/Base_de_dados!H392</f>
        <v>3.304224659204133E-2</v>
      </c>
      <c r="D392" s="9">
        <f>Base_de_dados!I392*300</f>
        <v>60000</v>
      </c>
      <c r="E392" s="10">
        <f>Base_de_dados!H392/Base_de_dados!I392</f>
        <v>211.8500018</v>
      </c>
      <c r="F392" s="11">
        <f>(D392-Base_de_dados!H392)/Base_de_dados!H392</f>
        <v>0.41609628251605713</v>
      </c>
    </row>
    <row r="393" spans="1:6">
      <c r="A393" s="6" t="str">
        <f>Base_de_dados!A393</f>
        <v>Ad_17</v>
      </c>
      <c r="B393" s="8">
        <f>Base_de_dados!G393/Base_de_dados!F393</f>
        <v>9.0958704748044395E-3</v>
      </c>
      <c r="C393" s="9">
        <f>Base_de_dados!G393/Base_de_dados!H393</f>
        <v>3.4013605889521348E-2</v>
      </c>
      <c r="D393" s="9">
        <f>Base_de_dados!I393*300</f>
        <v>30000</v>
      </c>
      <c r="E393" s="10">
        <f>Base_de_dados!H393/Base_de_dados!I393</f>
        <v>220.4999971</v>
      </c>
      <c r="F393" s="11">
        <f>(D393-Base_de_dados!H393)/Base_de_dados!H393</f>
        <v>0.36054423558085391</v>
      </c>
    </row>
    <row r="394" spans="1:6">
      <c r="A394" s="6" t="str">
        <f>Base_de_dados!A394</f>
        <v>Ad_17</v>
      </c>
      <c r="B394" s="8">
        <f>Base_de_dados!G394/Base_de_dados!F394</f>
        <v>7.920523207132997E-3</v>
      </c>
      <c r="C394" s="9">
        <f>Base_de_dados!G394/Base_de_dados!H394</f>
        <v>3.3914729306569621E-2</v>
      </c>
      <c r="D394" s="9">
        <f>Base_de_dados!I394*300</f>
        <v>75000</v>
      </c>
      <c r="E394" s="10">
        <f>Base_de_dados!H394/Base_de_dados!I394</f>
        <v>41.279999240000002</v>
      </c>
      <c r="F394" s="11">
        <f>(D394-Base_de_dados!H394)/Base_de_dados!H394</f>
        <v>6.26744199426492</v>
      </c>
    </row>
    <row r="395" spans="1:6">
      <c r="A395" s="6" t="str">
        <f>Base_de_dados!A395</f>
        <v>Ad_17</v>
      </c>
      <c r="B395" s="8">
        <f>Base_de_dados!G395/Base_de_dados!F395</f>
        <v>7.7435341489855971E-3</v>
      </c>
      <c r="C395" s="9">
        <f>Base_de_dados!G395/Base_de_dados!H395</f>
        <v>3.5677879921879631E-2</v>
      </c>
      <c r="D395" s="9">
        <f>Base_de_dados!I395*300</f>
        <v>15000</v>
      </c>
      <c r="E395" s="10">
        <f>Base_de_dados!H395/Base_de_dados!I395</f>
        <v>196.19999885999997</v>
      </c>
      <c r="F395" s="11">
        <f>(D395-Base_de_dados!H395)/Base_de_dados!H395</f>
        <v>0.52905199665198421</v>
      </c>
    </row>
    <row r="396" spans="1:6">
      <c r="A396" s="6" t="str">
        <f>Base_de_dados!A396</f>
        <v>Ad_17</v>
      </c>
      <c r="B396" s="8">
        <f>Base_de_dados!G396/Base_de_dados!F396</f>
        <v>9.6915386106390562E-3</v>
      </c>
      <c r="C396" s="9">
        <f>Base_de_dados!G396/Base_de_dados!H396</f>
        <v>3.3884948372694075E-2</v>
      </c>
      <c r="D396" s="9">
        <f>Base_de_dados!I396*300</f>
        <v>75000</v>
      </c>
      <c r="E396" s="10">
        <f>Base_de_dados!H396/Base_de_dados!I396</f>
        <v>253.80000304000001</v>
      </c>
      <c r="F396" s="11">
        <f>(D396-Base_de_dados!H396)/Base_de_dados!H396</f>
        <v>0.18203308276839802</v>
      </c>
    </row>
    <row r="397" spans="1:6">
      <c r="A397" s="6" t="str">
        <f>Base_de_dados!A397</f>
        <v>Ad_17</v>
      </c>
      <c r="B397" s="8">
        <f>Base_de_dados!G397/Base_de_dados!F397</f>
        <v>7.1990785179497025E-3</v>
      </c>
      <c r="C397" s="9">
        <f>Base_de_dados!G397/Base_de_dados!H397</f>
        <v>2.8436019092113837E-2</v>
      </c>
      <c r="D397" s="9">
        <f>Base_de_dados!I397*300</f>
        <v>30000</v>
      </c>
      <c r="E397" s="10">
        <f>Base_de_dados!H397/Base_de_dados!I397</f>
        <v>105.4999995</v>
      </c>
      <c r="F397" s="11">
        <f>(D397-Base_de_dados!H397)/Base_de_dados!H397</f>
        <v>1.8436019092113838</v>
      </c>
    </row>
    <row r="398" spans="1:6">
      <c r="A398" s="6" t="str">
        <f>Base_de_dados!A398</f>
        <v>Ad_17</v>
      </c>
      <c r="B398" s="8">
        <f>Base_de_dados!G398/Base_de_dados!F398</f>
        <v>7.7244967633404923E-3</v>
      </c>
      <c r="C398" s="9">
        <f>Base_de_dados!G398/Base_de_dados!H398</f>
        <v>3.5626318584479906E-2</v>
      </c>
      <c r="D398" s="9">
        <f>Base_de_dados!I398*300</f>
        <v>225000</v>
      </c>
      <c r="E398" s="10">
        <f>Base_de_dados!H398/Base_de_dados!I398</f>
        <v>151.5733372</v>
      </c>
      <c r="F398" s="11">
        <f>(D398-Base_de_dados!H398)/Base_de_dados!H398</f>
        <v>0.97923992135999482</v>
      </c>
    </row>
    <row r="399" spans="1:6">
      <c r="A399" s="6" t="str">
        <f>Base_de_dados!A399</f>
        <v>Ad_17</v>
      </c>
      <c r="B399" s="8">
        <f>Base_de_dados!G399/Base_de_dados!F399</f>
        <v>4.3063849333945794E-3</v>
      </c>
      <c r="C399" s="9">
        <f>Base_de_dados!G399/Base_de_dados!H399</f>
        <v>3.9370079325714215E-2</v>
      </c>
      <c r="D399" s="9">
        <f>Base_de_dados!I399*300</f>
        <v>105000</v>
      </c>
      <c r="E399" s="10">
        <f>Base_de_dados!H399/Base_de_dados!I399</f>
        <v>32.65714237142857</v>
      </c>
      <c r="F399" s="11">
        <f>(D399-Base_de_dados!H399)/Base_de_dados!H399</f>
        <v>8.1863518426666495</v>
      </c>
    </row>
    <row r="400" spans="1:6">
      <c r="A400" s="6" t="str">
        <f>Base_de_dados!A400</f>
        <v>Ad_17</v>
      </c>
      <c r="B400" s="8">
        <f>Base_de_dados!G400/Base_de_dados!F400</f>
        <v>7.513496670858019E-3</v>
      </c>
      <c r="C400" s="9">
        <f>Base_de_dados!G400/Base_de_dados!H400</f>
        <v>3.4163986324671949E-2</v>
      </c>
      <c r="D400" s="9">
        <f>Base_de_dados!I400*300</f>
        <v>105000</v>
      </c>
      <c r="E400" s="10">
        <f>Base_de_dados!H400/Base_de_dados!I400</f>
        <v>284.34286391428572</v>
      </c>
      <c r="F400" s="11">
        <f>(D400-Base_de_dados!H400)/Base_de_dados!H400</f>
        <v>5.5064283556045479E-2</v>
      </c>
    </row>
    <row r="401" spans="1:6">
      <c r="A401" s="6" t="str">
        <f>Base_de_dados!A401</f>
        <v>Ad_17</v>
      </c>
      <c r="B401" s="8">
        <f>Base_de_dados!G401/Base_de_dados!F401</f>
        <v>8.5794468063009263E-3</v>
      </c>
      <c r="C401" s="9">
        <f>Base_de_dados!G401/Base_de_dados!H401</f>
        <v>3.4302219967190267E-2</v>
      </c>
      <c r="D401" s="9">
        <f>Base_de_dados!I401*300</f>
        <v>345000</v>
      </c>
      <c r="E401" s="10">
        <f>Base_de_dados!H401/Base_de_dados!I401</f>
        <v>96.330436608695649</v>
      </c>
      <c r="F401" s="11">
        <f>(D401-Base_de_dados!H401)/Base_de_dados!H401</f>
        <v>2.1142804970212219</v>
      </c>
    </row>
    <row r="402" spans="1:6">
      <c r="A402" s="6" t="str">
        <f>Base_de_dados!A402</f>
        <v>Ad_17</v>
      </c>
      <c r="B402" s="8">
        <f>Base_de_dados!G402/Base_de_dados!F402</f>
        <v>7.204719593988918E-3</v>
      </c>
      <c r="C402" s="9">
        <f>Base_de_dados!G402/Base_de_dados!H402</f>
        <v>3.557246879928834E-2</v>
      </c>
      <c r="D402" s="9">
        <f>Base_de_dados!I402*300</f>
        <v>165000</v>
      </c>
      <c r="E402" s="10">
        <f>Base_de_dados!H402/Base_de_dados!I402</f>
        <v>219.78181672727274</v>
      </c>
      <c r="F402" s="11">
        <f>(D402-Base_de_dados!H402)/Base_de_dados!H402</f>
        <v>0.36499008183315734</v>
      </c>
    </row>
    <row r="403" spans="1:6">
      <c r="A403" s="6" t="str">
        <f>Base_de_dados!A403</f>
        <v>Ad_17</v>
      </c>
      <c r="B403" s="8">
        <f>Base_de_dados!G403/Base_de_dados!F403</f>
        <v>7.4750448502691018E-3</v>
      </c>
      <c r="C403" s="9">
        <f>Base_de_dados!G403/Base_de_dados!H403</f>
        <v>3.6578502765753494E-2</v>
      </c>
      <c r="D403" s="9">
        <f>Base_de_dados!I403*300</f>
        <v>75000</v>
      </c>
      <c r="E403" s="10">
        <f>Base_de_dados!H403/Base_de_dados!I403</f>
        <v>142.16000127999999</v>
      </c>
      <c r="F403" s="11">
        <f>(D403-Base_de_dados!H403)/Base_de_dados!H403</f>
        <v>1.1102982364857785</v>
      </c>
    </row>
    <row r="404" spans="1:6">
      <c r="A404" s="6" t="str">
        <f>Base_de_dados!A404</f>
        <v>Ad_17</v>
      </c>
      <c r="B404" s="8">
        <f>Base_de_dados!G404/Base_de_dados!F404</f>
        <v>5.5059944914445805E-3</v>
      </c>
      <c r="C404" s="9">
        <f>Base_de_dados!G404/Base_de_dados!H404</f>
        <v>3.5941156263005002E-2</v>
      </c>
      <c r="D404" s="9">
        <f>Base_de_dados!I404*300</f>
        <v>390000</v>
      </c>
      <c r="E404" s="10">
        <f>Base_de_dados!H404/Base_de_dados!I404</f>
        <v>92.030770615384611</v>
      </c>
      <c r="F404" s="11">
        <f>(D404-Base_de_dados!H404)/Base_de_dados!H404</f>
        <v>2.2597792889702215</v>
      </c>
    </row>
    <row r="405" spans="1:6">
      <c r="A405" s="6" t="str">
        <f>Base_de_dados!A405</f>
        <v>Ad_17</v>
      </c>
      <c r="B405" s="8">
        <f>Base_de_dados!G405/Base_de_dados!F405</f>
        <v>3.0274590536162999E-3</v>
      </c>
      <c r="C405" s="9">
        <f>Base_de_dados!G405/Base_de_dados!H405</f>
        <v>3.5746202157709753E-2</v>
      </c>
      <c r="D405" s="9">
        <f>Base_de_dados!I405*300</f>
        <v>45000</v>
      </c>
      <c r="E405" s="10">
        <f>Base_de_dados!H405/Base_de_dados!I405</f>
        <v>74.599999600000004</v>
      </c>
      <c r="F405" s="11">
        <f>(D405-Base_de_dados!H405)/Base_de_dados!H405</f>
        <v>3.021447742742347</v>
      </c>
    </row>
    <row r="406" spans="1:6">
      <c r="A406" s="6" t="str">
        <f>Base_de_dados!A406</f>
        <v>Ad_17</v>
      </c>
      <c r="B406" s="8">
        <f>Base_de_dados!G406/Base_de_dados!F406</f>
        <v>8.023917693861864E-3</v>
      </c>
      <c r="C406" s="9">
        <f>Base_de_dados!G406/Base_de_dados!H406</f>
        <v>3.5991937650481122E-2</v>
      </c>
      <c r="D406" s="9">
        <f>Base_de_dados!I406*300</f>
        <v>180000</v>
      </c>
      <c r="E406" s="10">
        <f>Base_de_dados!H406/Base_de_dados!I406</f>
        <v>231.53333433333333</v>
      </c>
      <c r="F406" s="11">
        <f>(D406-Base_de_dados!H406)/Base_de_dados!H406</f>
        <v>0.29570975541732036</v>
      </c>
    </row>
    <row r="407" spans="1:6">
      <c r="A407" s="6" t="str">
        <f>Base_de_dados!A407</f>
        <v>Ad_17</v>
      </c>
      <c r="B407" s="8">
        <f>Base_de_dados!G407/Base_de_dados!F407</f>
        <v>5.0494849525348417E-3</v>
      </c>
      <c r="C407" s="9">
        <f>Base_de_dados!G407/Base_de_dados!H407</f>
        <v>3.4530385691065632E-2</v>
      </c>
      <c r="D407" s="9">
        <f>Base_de_dados!I407*300</f>
        <v>60000</v>
      </c>
      <c r="E407" s="10">
        <f>Base_de_dados!H407/Base_de_dados!I407</f>
        <v>72.400002200000003</v>
      </c>
      <c r="F407" s="11">
        <f>(D407-Base_de_dados!H407)/Base_de_dados!H407</f>
        <v>3.1436462829278753</v>
      </c>
    </row>
    <row r="408" spans="1:6">
      <c r="A408" s="6" t="str">
        <f>Base_de_dados!A408</f>
        <v>Ad_17</v>
      </c>
      <c r="B408" s="8">
        <f>Base_de_dados!G408/Base_de_dados!F408</f>
        <v>8.7861980093629326E-3</v>
      </c>
      <c r="C408" s="9">
        <f>Base_de_dados!G408/Base_de_dados!H408</f>
        <v>3.5714285670678525E-2</v>
      </c>
      <c r="D408" s="9">
        <f>Base_de_dados!I408*300</f>
        <v>495000</v>
      </c>
      <c r="E408" s="10">
        <f>Base_de_dados!H408/Base_de_dados!I408</f>
        <v>99.272727393939405</v>
      </c>
      <c r="F408" s="11">
        <f>(D408-Base_de_dados!H408)/Base_de_dados!H408</f>
        <v>2.0219780182881828</v>
      </c>
    </row>
    <row r="409" spans="1:6">
      <c r="A409" s="6" t="str">
        <f>Base_de_dados!A409</f>
        <v>Ad_17</v>
      </c>
      <c r="B409" s="8">
        <f>Base_de_dados!G409/Base_de_dados!F409</f>
        <v>5.7205619880097017E-3</v>
      </c>
      <c r="C409" s="9">
        <f>Base_de_dados!G409/Base_de_dados!H409</f>
        <v>3.5717474934000695E-2</v>
      </c>
      <c r="D409" s="9">
        <f>Base_de_dados!I409*300</f>
        <v>225000</v>
      </c>
      <c r="E409" s="10">
        <f>Base_de_dados!H409/Base_de_dados!I409</f>
        <v>149.31999933333333</v>
      </c>
      <c r="F409" s="11">
        <f>(D409-Base_de_dados!H409)/Base_de_dados!H409</f>
        <v>1.009107965037539</v>
      </c>
    </row>
    <row r="410" spans="1:6">
      <c r="A410" s="6" t="str">
        <f>Base_de_dados!A410</f>
        <v>Ad_18</v>
      </c>
      <c r="B410" s="8">
        <f>Base_de_dados!G410/Base_de_dados!F410</f>
        <v>5.9009741210896633E-3</v>
      </c>
      <c r="C410" s="9">
        <f>Base_de_dados!G410/Base_de_dados!H410</f>
        <v>2.7750443263144159E-2</v>
      </c>
      <c r="D410" s="9">
        <f>Base_de_dados!I410*300</f>
        <v>750000</v>
      </c>
      <c r="E410" s="10">
        <f>Base_de_dados!H410/Base_de_dados!I410</f>
        <v>101.6199984</v>
      </c>
      <c r="F410" s="11">
        <f>(D410-Base_de_dados!H410)/Base_de_dados!H410</f>
        <v>1.952174815228102</v>
      </c>
    </row>
    <row r="411" spans="1:6">
      <c r="A411" s="6" t="str">
        <f>Base_de_dados!A411</f>
        <v>Ad_18</v>
      </c>
      <c r="B411" s="8">
        <f>Base_de_dados!G411/Base_de_dados!F411</f>
        <v>5.2536822823877755E-3</v>
      </c>
      <c r="C411" s="9">
        <f>Base_de_dados!G411/Base_de_dados!H411</f>
        <v>2.7369281045751634E-2</v>
      </c>
      <c r="D411" s="9">
        <f>Base_de_dados!I411*300</f>
        <v>390000</v>
      </c>
      <c r="E411" s="10">
        <f>Base_de_dados!H411/Base_de_dados!I411</f>
        <v>94.15384615384616</v>
      </c>
      <c r="F411" s="11">
        <f>(D411-Base_de_dados!H411)/Base_de_dados!H411</f>
        <v>2.1862745098039214</v>
      </c>
    </row>
    <row r="412" spans="1:6">
      <c r="A412" s="6" t="str">
        <f>Base_de_dados!A412</f>
        <v>Ad_18</v>
      </c>
      <c r="B412" s="8">
        <f>Base_de_dados!G412/Base_de_dados!F412</f>
        <v>5.4384476495029262E-3</v>
      </c>
      <c r="C412" s="9">
        <f>Base_de_dados!G412/Base_de_dados!H412</f>
        <v>2.8958646676315484E-2</v>
      </c>
      <c r="D412" s="9">
        <f>Base_de_dados!I412*300</f>
        <v>225000</v>
      </c>
      <c r="E412" s="10">
        <f>Base_de_dados!H412/Base_de_dados!I412</f>
        <v>115.10666816</v>
      </c>
      <c r="F412" s="11">
        <f>(D412-Base_de_dados!H412)/Base_de_dados!H412</f>
        <v>1.6062782008683936</v>
      </c>
    </row>
    <row r="413" spans="1:6">
      <c r="A413" s="6" t="str">
        <f>Base_de_dados!A413</f>
        <v>Ad_18</v>
      </c>
      <c r="B413" s="8">
        <f>Base_de_dados!G413/Base_de_dados!F413</f>
        <v>5.7328747033570651E-3</v>
      </c>
      <c r="C413" s="9">
        <f>Base_de_dados!G413/Base_de_dados!H413</f>
        <v>2.6557964448781227E-2</v>
      </c>
      <c r="D413" s="9">
        <f>Base_de_dados!I413*300</f>
        <v>315000</v>
      </c>
      <c r="E413" s="10">
        <f>Base_de_dados!H413/Base_de_dados!I413</f>
        <v>154.19999914285714</v>
      </c>
      <c r="F413" s="11">
        <f>(D413-Base_de_dados!H413)/Base_de_dados!H413</f>
        <v>0.94552530264327583</v>
      </c>
    </row>
    <row r="414" spans="1:6">
      <c r="A414" s="6" t="str">
        <f>Base_de_dados!A414</f>
        <v>Ad_18</v>
      </c>
      <c r="B414" s="8">
        <f>Base_de_dados!G414/Base_de_dados!F414</f>
        <v>1.6628974324863642E-3</v>
      </c>
      <c r="C414" s="9">
        <f>Base_de_dados!G414/Base_de_dados!H414</f>
        <v>2.7472526687598142E-2</v>
      </c>
      <c r="D414" s="9">
        <f>Base_de_dados!I414*300</f>
        <v>135000</v>
      </c>
      <c r="E414" s="10">
        <f>Base_de_dados!H414/Base_de_dados!I414</f>
        <v>4.0444445599999996</v>
      </c>
      <c r="F414" s="11">
        <f>(D414-Base_de_dados!H414)/Base_de_dados!H414</f>
        <v>73.175822056514988</v>
      </c>
    </row>
    <row r="415" spans="1:6">
      <c r="A415" s="6" t="str">
        <f>Base_de_dados!A415</f>
        <v>Ad_18</v>
      </c>
      <c r="B415" s="8">
        <f>Base_de_dados!G415/Base_de_dados!F415</f>
        <v>4.8518796102717844E-3</v>
      </c>
      <c r="C415" s="9">
        <f>Base_de_dados!G415/Base_de_dados!H415</f>
        <v>2.5974574635149739E-2</v>
      </c>
      <c r="D415" s="9">
        <f>Base_de_dados!I415*300</f>
        <v>615000</v>
      </c>
      <c r="E415" s="10">
        <f>Base_de_dados!H415/Base_de_dados!I415</f>
        <v>115.49756029268293</v>
      </c>
      <c r="F415" s="11">
        <f>(D415-Base_de_dados!H415)/Base_de_dados!H415</f>
        <v>1.5974574635149739</v>
      </c>
    </row>
    <row r="416" spans="1:6">
      <c r="A416" s="6" t="str">
        <f>Base_de_dados!A416</f>
        <v>Ad_18</v>
      </c>
      <c r="B416" s="8">
        <f>Base_de_dados!G416/Base_de_dados!F416</f>
        <v>5.5701124802301962E-3</v>
      </c>
      <c r="C416" s="9">
        <f>Base_de_dados!G416/Base_de_dados!H416</f>
        <v>2.6564575436319546E-2</v>
      </c>
      <c r="D416" s="9">
        <f>Base_de_dados!I416*300</f>
        <v>1290000</v>
      </c>
      <c r="E416" s="10">
        <f>Base_de_dados!H416/Base_de_dados!I416</f>
        <v>148.82558095348836</v>
      </c>
      <c r="F416" s="11">
        <f>(D416-Base_de_dados!H416)/Base_de_dados!H416</f>
        <v>1.0157824889913067</v>
      </c>
    </row>
    <row r="417" spans="1:6">
      <c r="A417" s="6" t="str">
        <f>Base_de_dados!A417</f>
        <v>Ad_18</v>
      </c>
      <c r="B417" s="8">
        <f>Base_de_dados!G417/Base_de_dados!F417</f>
        <v>1.6697278343629988E-3</v>
      </c>
      <c r="C417" s="9">
        <f>Base_de_dados!G417/Base_de_dados!H417</f>
        <v>3.1446540227839104E-2</v>
      </c>
      <c r="D417" s="9">
        <f>Base_de_dados!I417*300</f>
        <v>165000</v>
      </c>
      <c r="E417" s="10">
        <f>Base_de_dados!H417/Base_de_dados!I417</f>
        <v>2.8909091509090912</v>
      </c>
      <c r="F417" s="11">
        <f>(D417-Base_de_dados!H417)/Base_de_dados!H417</f>
        <v>102.77358275186904</v>
      </c>
    </row>
    <row r="418" spans="1:6">
      <c r="A418" s="6" t="str">
        <f>Base_de_dados!A418</f>
        <v>Ad_18</v>
      </c>
      <c r="B418" s="8">
        <f>Base_de_dados!G418/Base_de_dados!F418</f>
        <v>4.1916301529106676E-3</v>
      </c>
      <c r="C418" s="9">
        <f>Base_de_dados!G418/Base_de_dados!H418</f>
        <v>2.8317915721206583E-2</v>
      </c>
      <c r="D418" s="9">
        <f>Base_de_dados!I418*300</f>
        <v>270000</v>
      </c>
      <c r="E418" s="10">
        <f>Base_de_dados!H418/Base_de_dados!I418</f>
        <v>58.855555722222221</v>
      </c>
      <c r="F418" s="11">
        <f>(D418-Base_de_dados!H418)/Base_de_dados!H418</f>
        <v>4.0972248298171845</v>
      </c>
    </row>
    <row r="419" spans="1:6">
      <c r="A419" s="6" t="str">
        <f>Base_de_dados!A419</f>
        <v>Ad_18</v>
      </c>
      <c r="B419" s="8">
        <f>Base_de_dados!G419/Base_de_dados!F419</f>
        <v>4.8542149484828417E-3</v>
      </c>
      <c r="C419" s="9">
        <f>Base_de_dados!G419/Base_de_dados!H419</f>
        <v>2.8043870492667489E-2</v>
      </c>
      <c r="D419" s="9">
        <f>Base_de_dados!I419*300</f>
        <v>1035000</v>
      </c>
      <c r="E419" s="10">
        <f>Base_de_dados!H419/Base_de_dados!I419</f>
        <v>104.39130478260869</v>
      </c>
      <c r="F419" s="11">
        <f>(D419-Base_de_dados!H419)/Base_de_dados!H419</f>
        <v>1.8738025702882026</v>
      </c>
    </row>
    <row r="420" spans="1:6">
      <c r="A420" s="6" t="str">
        <f>Base_de_dados!A420</f>
        <v>Ad_18</v>
      </c>
      <c r="B420" s="8">
        <f>Base_de_dados!G420/Base_de_dados!F420</f>
        <v>3.0822128918691224E-3</v>
      </c>
      <c r="C420" s="9">
        <f>Base_de_dados!G420/Base_de_dados!H420</f>
        <v>2.7239709278209991E-2</v>
      </c>
      <c r="D420" s="9">
        <f>Base_de_dados!I420*300</f>
        <v>225000</v>
      </c>
      <c r="E420" s="10">
        <f>Base_de_dados!H420/Base_de_dados!I420</f>
        <v>22.026666800000001</v>
      </c>
      <c r="F420" s="11">
        <f>(D420-Base_de_dados!H420)/Base_de_dados!H420</f>
        <v>12.619854639104995</v>
      </c>
    </row>
    <row r="421" spans="1:6">
      <c r="A421" s="6" t="str">
        <f>Base_de_dados!A421</f>
        <v>Ad_18</v>
      </c>
      <c r="B421" s="8">
        <f>Base_de_dados!G421/Base_de_dados!F421</f>
        <v>1.53298994358597E-3</v>
      </c>
      <c r="C421" s="9">
        <f>Base_de_dados!G421/Base_de_dados!H421</f>
        <v>3.2467533268679391E-2</v>
      </c>
      <c r="D421" s="9">
        <f>Base_de_dados!I421*300</f>
        <v>150000</v>
      </c>
      <c r="E421" s="10">
        <f>Base_de_dados!H421/Base_de_dados!I421</f>
        <v>3.079999924</v>
      </c>
      <c r="F421" s="11">
        <f>(D421-Base_de_dados!H421)/Base_de_dados!H421</f>
        <v>96.402599806038168</v>
      </c>
    </row>
    <row r="422" spans="1:6">
      <c r="A422" s="6" t="str">
        <f>Base_de_dados!A422</f>
        <v>Ad_18</v>
      </c>
      <c r="B422" s="8">
        <f>Base_de_dados!G422/Base_de_dados!F422</f>
        <v>4.8246812409283293E-3</v>
      </c>
      <c r="C422" s="9">
        <f>Base_de_dados!G422/Base_de_dados!H422</f>
        <v>2.8981086523166822E-2</v>
      </c>
      <c r="D422" s="9">
        <f>Base_de_dados!I422*300</f>
        <v>720000</v>
      </c>
      <c r="E422" s="10">
        <f>Base_de_dados!H422/Base_de_dados!I422</f>
        <v>68.291665500000008</v>
      </c>
      <c r="F422" s="11">
        <f>(D422-Base_de_dados!H422)/Base_de_dados!H422</f>
        <v>3.3929225887747605</v>
      </c>
    </row>
    <row r="423" spans="1:6">
      <c r="A423" s="6" t="str">
        <f>Base_de_dados!A423</f>
        <v>Ad_18</v>
      </c>
      <c r="B423" s="8">
        <f>Base_de_dados!G423/Base_de_dados!F423</f>
        <v>6.9821778491259224E-3</v>
      </c>
      <c r="C423" s="9">
        <f>Base_de_dados!G423/Base_de_dados!H423</f>
        <v>2.9235596037548214E-2</v>
      </c>
      <c r="D423" s="9">
        <f>Base_de_dados!I423*300</f>
        <v>225000</v>
      </c>
      <c r="E423" s="10">
        <f>Base_de_dados!H423/Base_de_dados!I423</f>
        <v>280.48000080000003</v>
      </c>
      <c r="F423" s="11">
        <f>(D423-Base_de_dados!H423)/Base_de_dados!H423</f>
        <v>6.9594976983471266E-2</v>
      </c>
    </row>
    <row r="424" spans="1:6">
      <c r="A424" s="6" t="str">
        <f>Base_de_dados!A424</f>
        <v>Ad_18</v>
      </c>
      <c r="B424" s="8">
        <f>Base_de_dados!G424/Base_de_dados!F424</f>
        <v>5.4808936048933417E-3</v>
      </c>
      <c r="C424" s="9">
        <f>Base_de_dados!G424/Base_de_dados!H424</f>
        <v>2.798768521475516E-2</v>
      </c>
      <c r="D424" s="9">
        <f>Base_de_dados!I424*300</f>
        <v>210000</v>
      </c>
      <c r="E424" s="10">
        <f>Base_de_dados!H424/Base_de_dados!I424</f>
        <v>51.042857514285714</v>
      </c>
      <c r="F424" s="11">
        <f>(D424-Base_de_dados!H424)/Base_de_dados!H424</f>
        <v>4.8774138950985835</v>
      </c>
    </row>
    <row r="425" spans="1:6">
      <c r="A425" s="6" t="str">
        <f>Base_de_dados!A425</f>
        <v>Ad_18</v>
      </c>
      <c r="B425" s="8">
        <f>Base_de_dados!G425/Base_de_dados!F425</f>
        <v>6.7045773266838828E-3</v>
      </c>
      <c r="C425" s="9">
        <f>Base_de_dados!G425/Base_de_dados!H425</f>
        <v>2.7798369239617409E-2</v>
      </c>
      <c r="D425" s="9">
        <f>Base_de_dados!I425*300</f>
        <v>285000</v>
      </c>
      <c r="E425" s="10">
        <f>Base_de_dados!H425/Base_de_dados!I425</f>
        <v>227.19999936842106</v>
      </c>
      <c r="F425" s="11">
        <f>(D425-Base_de_dados!H425)/Base_de_dados!H425</f>
        <v>0.32042253888182692</v>
      </c>
    </row>
    <row r="426" spans="1:6">
      <c r="A426" s="6" t="str">
        <f>Base_de_dados!A426</f>
        <v>Ad_18</v>
      </c>
      <c r="B426" s="8">
        <f>Base_de_dados!G426/Base_de_dados!F426</f>
        <v>3.1898944144948802E-3</v>
      </c>
      <c r="C426" s="9">
        <f>Base_de_dados!G426/Base_de_dados!H426</f>
        <v>2.6315788975069261E-2</v>
      </c>
      <c r="D426" s="9">
        <f>Base_de_dados!I426*300</f>
        <v>135000</v>
      </c>
      <c r="E426" s="10">
        <f>Base_de_dados!H426/Base_de_dados!I426</f>
        <v>8.4444446044444437</v>
      </c>
      <c r="F426" s="11">
        <f>(D426-Base_de_dados!H426)/Base_de_dados!H426</f>
        <v>34.526315116343504</v>
      </c>
    </row>
    <row r="427" spans="1:6">
      <c r="A427" s="6" t="str">
        <f>Base_de_dados!A427</f>
        <v>Ad_18</v>
      </c>
      <c r="B427" s="8">
        <f>Base_de_dados!G427/Base_de_dados!F427</f>
        <v>6.7022495186566259E-3</v>
      </c>
      <c r="C427" s="9">
        <f>Base_de_dados!G427/Base_de_dados!H427</f>
        <v>2.8409090747675621E-2</v>
      </c>
      <c r="D427" s="9">
        <f>Base_de_dados!I427*300</f>
        <v>165000</v>
      </c>
      <c r="E427" s="10">
        <f>Base_de_dados!H427/Base_de_dados!I427</f>
        <v>176.000001</v>
      </c>
      <c r="F427" s="11">
        <f>(D427-Base_de_dados!H427)/Base_de_dados!H427</f>
        <v>0.70454544486053727</v>
      </c>
    </row>
    <row r="428" spans="1:6">
      <c r="A428" s="6" t="str">
        <f>Base_de_dados!A428</f>
        <v>Ad_18</v>
      </c>
      <c r="B428" s="8">
        <f>Base_de_dados!G428/Base_de_dados!F428</f>
        <v>7.7736046816315836E-3</v>
      </c>
      <c r="C428" s="9">
        <f>Base_de_dados!G428/Base_de_dados!H428</f>
        <v>2.8284497912470577E-2</v>
      </c>
      <c r="D428" s="9">
        <f>Base_de_dados!I428*300</f>
        <v>300000</v>
      </c>
      <c r="E428" s="10">
        <f>Base_de_dados!H428/Base_de_dados!I428</f>
        <v>157.32999799999999</v>
      </c>
      <c r="F428" s="11">
        <f>(D428-Base_de_dados!H428)/Base_de_dados!H428</f>
        <v>0.90682008398678049</v>
      </c>
    </row>
    <row r="429" spans="1:6">
      <c r="A429" s="6" t="str">
        <f>Base_de_dados!A429</f>
        <v>Ad_18</v>
      </c>
      <c r="B429" s="8">
        <f>Base_de_dados!G429/Base_de_dados!F429</f>
        <v>7.5942445751779582E-3</v>
      </c>
      <c r="C429" s="9">
        <f>Base_de_dados!G429/Base_de_dados!H429</f>
        <v>2.8227324623363016E-2</v>
      </c>
      <c r="D429" s="9">
        <f>Base_de_dados!I429*300</f>
        <v>150000</v>
      </c>
      <c r="E429" s="10">
        <f>Base_de_dados!H429/Base_de_dados!I429</f>
        <v>53.139998919999996</v>
      </c>
      <c r="F429" s="11">
        <f>(D429-Base_de_dados!H429)/Base_de_dados!H429</f>
        <v>4.645464924672603</v>
      </c>
    </row>
    <row r="430" spans="1:6">
      <c r="A430" s="6" t="str">
        <f>Base_de_dados!A430</f>
        <v>Ad_18</v>
      </c>
      <c r="B430" s="8">
        <f>Base_de_dados!G430/Base_de_dados!F430</f>
        <v>7.8176801179021971E-3</v>
      </c>
      <c r="C430" s="9">
        <f>Base_de_dados!G430/Base_de_dados!H430</f>
        <v>2.9004189522079463E-2</v>
      </c>
      <c r="D430" s="9">
        <f>Base_de_dados!I430*300</f>
        <v>255000</v>
      </c>
      <c r="E430" s="10">
        <f>Base_de_dados!H430/Base_de_dados!I430</f>
        <v>109.51764695294118</v>
      </c>
      <c r="F430" s="11">
        <f>(D430-Base_de_dados!H430)/Base_de_dados!H430</f>
        <v>1.7392845659741711</v>
      </c>
    </row>
    <row r="431" spans="1:6">
      <c r="A431" s="6" t="str">
        <f>Base_de_dados!A431</f>
        <v>Ad_18</v>
      </c>
      <c r="B431" s="8">
        <f>Base_de_dados!G431/Base_de_dados!F431</f>
        <v>7.1009790088885734E-3</v>
      </c>
      <c r="C431" s="9">
        <f>Base_de_dados!G431/Base_de_dados!H431</f>
        <v>2.9143436317426667E-2</v>
      </c>
      <c r="D431" s="9">
        <f>Base_de_dados!I431*300</f>
        <v>210000</v>
      </c>
      <c r="E431" s="10">
        <f>Base_de_dados!H431/Base_de_dados!I431</f>
        <v>112.74285742857144</v>
      </c>
      <c r="F431" s="11">
        <f>(D431-Base_de_dados!H431)/Base_de_dados!H431</f>
        <v>1.6609224463737391</v>
      </c>
    </row>
    <row r="432" spans="1:6">
      <c r="A432" s="6" t="str">
        <f>Base_de_dados!A432</f>
        <v>Ad_18</v>
      </c>
      <c r="B432" s="8">
        <f>Base_de_dados!G432/Base_de_dados!F432</f>
        <v>7.2645472558798994E-3</v>
      </c>
      <c r="C432" s="9">
        <f>Base_de_dados!G432/Base_de_dados!H432</f>
        <v>2.8114396455425312E-2</v>
      </c>
      <c r="D432" s="9">
        <f>Base_de_dados!I432*300</f>
        <v>165000</v>
      </c>
      <c r="E432" s="10">
        <f>Base_de_dados!H432/Base_de_dados!I432</f>
        <v>187.54545490909089</v>
      </c>
      <c r="F432" s="11">
        <f>(D432-Base_de_dados!H432)/Base_de_dados!H432</f>
        <v>0.59961221211902638</v>
      </c>
    </row>
    <row r="433" spans="1:6">
      <c r="A433" s="6" t="str">
        <f>Base_de_dados!A433</f>
        <v>Ad_18</v>
      </c>
      <c r="B433" s="8">
        <f>Base_de_dados!G433/Base_de_dados!F433</f>
        <v>6.4251585845959743E-3</v>
      </c>
      <c r="C433" s="9">
        <f>Base_de_dados!G433/Base_de_dados!H433</f>
        <v>3.0112236344824267E-2</v>
      </c>
      <c r="D433" s="9">
        <f>Base_de_dados!I433*300</f>
        <v>180000</v>
      </c>
      <c r="E433" s="10">
        <f>Base_de_dados!H433/Base_de_dados!I433</f>
        <v>60.883333683333333</v>
      </c>
      <c r="F433" s="11">
        <f>(D433-Base_de_dados!H433)/Base_de_dados!H433</f>
        <v>3.9274568564257888</v>
      </c>
    </row>
    <row r="434" spans="1:6">
      <c r="A434" s="6" t="str">
        <f>Base_de_dados!A434</f>
        <v>Ad_18</v>
      </c>
      <c r="B434" s="8">
        <f>Base_de_dados!G434/Base_de_dados!F434</f>
        <v>5.8417584471827143E-3</v>
      </c>
      <c r="C434" s="9">
        <f>Base_de_dados!G434/Base_de_dados!H434</f>
        <v>2.5996533777472075E-2</v>
      </c>
      <c r="D434" s="9">
        <f>Base_de_dados!I434*300</f>
        <v>165000</v>
      </c>
      <c r="E434" s="10">
        <f>Base_de_dados!H434/Base_de_dados!I434</f>
        <v>52.454545490909091</v>
      </c>
      <c r="F434" s="11">
        <f>(D434-Base_de_dados!H434)/Base_de_dados!H434</f>
        <v>4.7192374310438563</v>
      </c>
    </row>
    <row r="435" spans="1:6">
      <c r="A435" s="6" t="str">
        <f>Base_de_dados!A435</f>
        <v>Ad_18</v>
      </c>
      <c r="B435" s="8">
        <f>Base_de_dados!G435/Base_de_dados!F435</f>
        <v>7.3480784774781396E-3</v>
      </c>
      <c r="C435" s="9">
        <f>Base_de_dados!G435/Base_de_dados!H435</f>
        <v>2.9490512751878927E-2</v>
      </c>
      <c r="D435" s="9">
        <f>Base_de_dados!I435*300</f>
        <v>555000</v>
      </c>
      <c r="E435" s="10">
        <f>Base_de_dados!H435/Base_de_dados!I435</f>
        <v>139.30270194594596</v>
      </c>
      <c r="F435" s="11">
        <f>(D435-Base_de_dados!H435)/Base_de_dados!H435</f>
        <v>1.153583497012211</v>
      </c>
    </row>
    <row r="436" spans="1:6">
      <c r="A436" s="6" t="str">
        <f>Base_de_dados!A436</f>
        <v>Ad_18</v>
      </c>
      <c r="B436" s="8">
        <f>Base_de_dados!G436/Base_de_dados!F436</f>
        <v>5.4438952159048841E-3</v>
      </c>
      <c r="C436" s="9">
        <f>Base_de_dados!G436/Base_de_dados!H436</f>
        <v>3.4626038071377617E-2</v>
      </c>
      <c r="D436" s="9">
        <f>Base_de_dados!I436*300</f>
        <v>150000</v>
      </c>
      <c r="E436" s="10">
        <f>Base_de_dados!H436/Base_de_dados!I436</f>
        <v>14.440000295999999</v>
      </c>
      <c r="F436" s="11">
        <f>(D436-Base_de_dados!H436)/Base_de_dados!H436</f>
        <v>19.775622842826571</v>
      </c>
    </row>
    <row r="437" spans="1:6">
      <c r="A437" s="6" t="str">
        <f>Base_de_dados!A437</f>
        <v>Ad_18</v>
      </c>
      <c r="B437" s="8">
        <f>Base_de_dados!G437/Base_de_dados!F437</f>
        <v>4.8932057837692364E-3</v>
      </c>
      <c r="C437" s="9">
        <f>Base_de_dados!G437/Base_de_dados!H437</f>
        <v>2.5316455773113283E-2</v>
      </c>
      <c r="D437" s="9">
        <f>Base_de_dados!I437*300</f>
        <v>150000</v>
      </c>
      <c r="E437" s="10">
        <f>Base_de_dados!H437/Base_de_dados!I437</f>
        <v>15.799999952</v>
      </c>
      <c r="F437" s="11">
        <f>(D437-Base_de_dados!H437)/Base_de_dados!H437</f>
        <v>17.987341829834964</v>
      </c>
    </row>
    <row r="438" spans="1:6">
      <c r="A438" s="6" t="str">
        <f>Base_de_dados!A438</f>
        <v>Ad_18</v>
      </c>
      <c r="B438" s="8">
        <f>Base_de_dados!G438/Base_de_dados!F438</f>
        <v>5.9325848970347541E-3</v>
      </c>
      <c r="C438" s="9">
        <f>Base_de_dados!G438/Base_de_dados!H438</f>
        <v>2.7392845447873102E-2</v>
      </c>
      <c r="D438" s="9">
        <f>Base_de_dados!I438*300</f>
        <v>180000</v>
      </c>
      <c r="E438" s="10">
        <f>Base_de_dados!H438/Base_de_dados!I438</f>
        <v>103.43333403333334</v>
      </c>
      <c r="F438" s="11">
        <f>(D438-Base_de_dados!H438)/Base_de_dados!H438</f>
        <v>1.9004189297747993</v>
      </c>
    </row>
    <row r="439" spans="1:6">
      <c r="A439" s="6" t="str">
        <f>Base_de_dados!A439</f>
        <v>Ad_18</v>
      </c>
      <c r="B439" s="8">
        <f>Base_de_dados!G439/Base_de_dados!F439</f>
        <v>2.4250654767678727E-3</v>
      </c>
      <c r="C439" s="9">
        <f>Base_de_dados!G439/Base_de_dados!H439</f>
        <v>2.3809524886621369E-2</v>
      </c>
      <c r="D439" s="9">
        <f>Base_de_dados!I439*300</f>
        <v>165000</v>
      </c>
      <c r="E439" s="10">
        <f>Base_de_dados!H439/Base_de_dados!I439</f>
        <v>3.818181645454545</v>
      </c>
      <c r="F439" s="11">
        <f>(D439-Base_de_dados!H439)/Base_de_dados!H439</f>
        <v>77.571432125850507</v>
      </c>
    </row>
    <row r="440" spans="1:6">
      <c r="A440" s="6" t="str">
        <f>Base_de_dados!A440</f>
        <v>Ad_18</v>
      </c>
      <c r="B440" s="8">
        <f>Base_de_dados!G440/Base_de_dados!F440</f>
        <v>4.1870536301754973E-3</v>
      </c>
      <c r="C440" s="9">
        <f>Base_de_dados!G440/Base_de_dados!H440</f>
        <v>2.4752474442281597E-2</v>
      </c>
      <c r="D440" s="9">
        <f>Base_de_dados!I440*300</f>
        <v>180000</v>
      </c>
      <c r="E440" s="10">
        <f>Base_de_dados!H440/Base_de_dados!I440</f>
        <v>23.566667433333333</v>
      </c>
      <c r="F440" s="11">
        <f>(D440-Base_de_dados!H440)/Base_de_dados!H440</f>
        <v>11.729843998887677</v>
      </c>
    </row>
    <row r="441" spans="1:6">
      <c r="A441" s="6" t="str">
        <f>Base_de_dados!A441</f>
        <v>Ad_18</v>
      </c>
      <c r="B441" s="8">
        <f>Base_de_dados!G441/Base_de_dados!F441</f>
        <v>5.2208870287061768E-3</v>
      </c>
      <c r="C441" s="9">
        <f>Base_de_dados!G441/Base_de_dados!H441</f>
        <v>2.5284449786179646E-2</v>
      </c>
      <c r="D441" s="9">
        <f>Base_de_dados!I441*300</f>
        <v>210000</v>
      </c>
      <c r="E441" s="10">
        <f>Base_de_dados!H441/Base_de_dados!I441</f>
        <v>33.900000371428575</v>
      </c>
      <c r="F441" s="11">
        <f>(D441-Base_de_dados!H441)/Base_de_dados!H441</f>
        <v>7.8495574251628764</v>
      </c>
    </row>
    <row r="442" spans="1:6">
      <c r="A442" s="6" t="str">
        <f>Base_de_dados!A442</f>
        <v>Ad_18</v>
      </c>
      <c r="B442" s="8">
        <f>Base_de_dados!G442/Base_de_dados!F442</f>
        <v>1.999840012798976E-3</v>
      </c>
      <c r="C442" s="9">
        <f>Base_de_dados!G442/Base_de_dados!H442</f>
        <v>2.9239765432098781E-2</v>
      </c>
      <c r="D442" s="9">
        <f>Base_de_dados!I442*300</f>
        <v>135000</v>
      </c>
      <c r="E442" s="10">
        <f>Base_de_dados!H442/Base_de_dados!I442</f>
        <v>3.8000000844444441</v>
      </c>
      <c r="F442" s="11">
        <f>(D442-Base_de_dados!H442)/Base_de_dados!H442</f>
        <v>77.94736666666671</v>
      </c>
    </row>
    <row r="443" spans="1:6">
      <c r="A443" s="6" t="str">
        <f>Base_de_dados!A443</f>
        <v>Ad_18</v>
      </c>
      <c r="B443" s="8">
        <f>Base_de_dados!G443/Base_de_dados!F443</f>
        <v>3.628183731224149E-3</v>
      </c>
      <c r="C443" s="9">
        <f>Base_de_dados!G443/Base_de_dados!H443</f>
        <v>2.6483050687549373E-2</v>
      </c>
      <c r="D443" s="9">
        <f>Base_de_dados!I443*300</f>
        <v>120000</v>
      </c>
      <c r="E443" s="10">
        <f>Base_de_dados!H443/Base_de_dados!I443</f>
        <v>23.600000142500004</v>
      </c>
      <c r="F443" s="11">
        <f>(D443-Base_de_dados!H443)/Base_de_dados!H443</f>
        <v>11.711864330023699</v>
      </c>
    </row>
    <row r="444" spans="1:6">
      <c r="A444" s="6" t="str">
        <f>Base_de_dados!A444</f>
        <v>Ad_18</v>
      </c>
      <c r="B444" s="8">
        <f>Base_de_dados!G444/Base_de_dados!F444</f>
        <v>4.7173149043564407E-3</v>
      </c>
      <c r="C444" s="9">
        <f>Base_de_dados!G444/Base_de_dados!H444</f>
        <v>2.8776979203974973E-2</v>
      </c>
      <c r="D444" s="9">
        <f>Base_de_dados!I444*300</f>
        <v>135000</v>
      </c>
      <c r="E444" s="10">
        <f>Base_de_dados!H444/Base_de_dados!I444</f>
        <v>61.777776088888885</v>
      </c>
      <c r="F444" s="11">
        <f>(D444-Base_de_dados!H444)/Base_de_dados!H444</f>
        <v>3.8561152406707766</v>
      </c>
    </row>
    <row r="445" spans="1:6">
      <c r="A445" s="6" t="str">
        <f>Base_de_dados!A445</f>
        <v>Ad_18</v>
      </c>
      <c r="B445" s="8">
        <f>Base_de_dados!G445/Base_de_dados!F445</f>
        <v>5.3192944487843131E-3</v>
      </c>
      <c r="C445" s="9">
        <f>Base_de_dados!G445/Base_de_dados!H445</f>
        <v>2.5868440284626593E-2</v>
      </c>
      <c r="D445" s="9">
        <f>Base_de_dados!I445*300</f>
        <v>225000</v>
      </c>
      <c r="E445" s="10">
        <f>Base_de_dados!H445/Base_de_dados!I445</f>
        <v>90.200000760000009</v>
      </c>
      <c r="F445" s="11">
        <f>(D445-Base_de_dados!H445)/Base_de_dados!H445</f>
        <v>2.3259423223091331</v>
      </c>
    </row>
    <row r="446" spans="1:6">
      <c r="A446" s="6" t="str">
        <f>Base_de_dados!A446</f>
        <v>Ad_18</v>
      </c>
      <c r="B446" s="8">
        <f>Base_de_dados!G446/Base_de_dados!F446</f>
        <v>4.3107164410725067E-3</v>
      </c>
      <c r="C446" s="9">
        <f>Base_de_dados!G446/Base_de_dados!H446</f>
        <v>3.3557046765911445E-2</v>
      </c>
      <c r="D446" s="9">
        <f>Base_de_dados!I446*300</f>
        <v>135000</v>
      </c>
      <c r="E446" s="10">
        <f>Base_de_dados!H446/Base_de_dados!I446</f>
        <v>6.6222222644444448</v>
      </c>
      <c r="F446" s="11">
        <f>(D446-Base_de_dados!H446)/Base_de_dados!H446</f>
        <v>44.302013133980452</v>
      </c>
    </row>
    <row r="447" spans="1:6">
      <c r="A447" s="6" t="str">
        <f>Base_de_dados!A447</f>
        <v>Ad_18</v>
      </c>
      <c r="B447" s="8">
        <f>Base_de_dados!G447/Base_de_dados!F447</f>
        <v>3.718854592785422E-3</v>
      </c>
      <c r="C447" s="9">
        <f>Base_de_dados!G447/Base_de_dados!H447</f>
        <v>3.0864197435604326E-2</v>
      </c>
      <c r="D447" s="9">
        <f>Base_de_dados!I447*300</f>
        <v>150000</v>
      </c>
      <c r="E447" s="10">
        <f>Base_de_dados!H447/Base_de_dados!I447</f>
        <v>6.4800000200000003</v>
      </c>
      <c r="F447" s="11">
        <f>(D447-Base_de_dados!H447)/Base_de_dados!H447</f>
        <v>45.296296153406495</v>
      </c>
    </row>
    <row r="448" spans="1:6">
      <c r="A448" s="6" t="str">
        <f>Base_de_dados!A448</f>
        <v>Ad_18</v>
      </c>
      <c r="B448" s="8">
        <f>Base_de_dados!G448/Base_de_dados!F448</f>
        <v>6.9915875414420714E-3</v>
      </c>
      <c r="C448" s="9">
        <f>Base_de_dados!G448/Base_de_dados!H448</f>
        <v>2.9659395268608238E-2</v>
      </c>
      <c r="D448" s="9">
        <f>Base_de_dados!I448*300</f>
        <v>225000</v>
      </c>
      <c r="E448" s="10">
        <f>Base_de_dados!H448/Base_de_dados!I448</f>
        <v>69.680000146666671</v>
      </c>
      <c r="F448" s="11">
        <f>(D448-Base_de_dados!H448)/Base_de_dados!H448</f>
        <v>3.3053960873786155</v>
      </c>
    </row>
    <row r="449" spans="1:6">
      <c r="A449" s="6" t="str">
        <f>Base_de_dados!A449</f>
        <v>Ad_18</v>
      </c>
      <c r="B449" s="8">
        <f>Base_de_dados!G449/Base_de_dados!F449</f>
        <v>3.957351062266092E-3</v>
      </c>
      <c r="C449" s="9">
        <f>Base_de_dados!G449/Base_de_dados!H449</f>
        <v>2.684049038588205E-2</v>
      </c>
      <c r="D449" s="9">
        <f>Base_de_dados!I449*300</f>
        <v>135000</v>
      </c>
      <c r="E449" s="10">
        <f>Base_de_dados!H449/Base_de_dados!I449</f>
        <v>28.977778222222224</v>
      </c>
      <c r="F449" s="11">
        <f>(D449-Base_de_dados!H449)/Base_de_dados!H449</f>
        <v>9.3527605774116473</v>
      </c>
    </row>
    <row r="450" spans="1:6">
      <c r="A450" s="6" t="str">
        <f>Base_de_dados!A450</f>
        <v>Ad_18</v>
      </c>
      <c r="B450" s="8">
        <f>Base_de_dados!G450/Base_de_dados!F450</f>
        <v>6.1217102461459845E-3</v>
      </c>
      <c r="C450" s="9">
        <f>Base_de_dados!G450/Base_de_dados!H450</f>
        <v>2.9955717829875734E-2</v>
      </c>
      <c r="D450" s="9">
        <f>Base_de_dados!I450*300</f>
        <v>210000</v>
      </c>
      <c r="E450" s="10">
        <f>Base_de_dados!H450/Base_de_dados!I450</f>
        <v>54.842856785714289</v>
      </c>
      <c r="F450" s="11">
        <f>(D450-Base_de_dados!H450)/Base_de_dados!H450</f>
        <v>4.4701745602381768</v>
      </c>
    </row>
    <row r="451" spans="1:6">
      <c r="A451" s="6" t="str">
        <f>Base_de_dados!A451</f>
        <v>Ad_18</v>
      </c>
      <c r="B451" s="8">
        <f>Base_de_dados!G451/Base_de_dados!F451</f>
        <v>7.0089486752210883E-3</v>
      </c>
      <c r="C451" s="9">
        <f>Base_de_dados!G451/Base_de_dados!H451</f>
        <v>2.8824673983190909E-2</v>
      </c>
      <c r="D451" s="9">
        <f>Base_de_dados!I451*300</f>
        <v>285000</v>
      </c>
      <c r="E451" s="10">
        <f>Base_de_dados!H451/Base_de_dados!I451</f>
        <v>146.07368389473683</v>
      </c>
      <c r="F451" s="11">
        <f>(D451-Base_de_dados!H451)/Base_de_dados!H451</f>
        <v>1.0537580213023523</v>
      </c>
    </row>
    <row r="452" spans="1:6">
      <c r="A452" s="6" t="str">
        <f>Base_de_dados!A452</f>
        <v>Ad_18</v>
      </c>
      <c r="B452" s="8">
        <f>Base_de_dados!G452/Base_de_dados!F452</f>
        <v>6.8170620249212981E-3</v>
      </c>
      <c r="C452" s="9">
        <f>Base_de_dados!G452/Base_de_dados!H452</f>
        <v>2.7843920284979274E-2</v>
      </c>
      <c r="D452" s="9">
        <f>Base_de_dados!I452*300</f>
        <v>555000</v>
      </c>
      <c r="E452" s="10">
        <f>Base_de_dados!H452/Base_de_dados!I452</f>
        <v>140.74594664864864</v>
      </c>
      <c r="F452" s="11">
        <f>(D452-Base_de_dados!H452)/Base_de_dados!H452</f>
        <v>1.1315001045742754</v>
      </c>
    </row>
    <row r="453" spans="1:6">
      <c r="A453" s="6" t="str">
        <f>Base_de_dados!A453</f>
        <v>Ad_18</v>
      </c>
      <c r="B453" s="8">
        <f>Base_de_dados!G453/Base_de_dados!F453</f>
        <v>5.9378896740098566E-3</v>
      </c>
      <c r="C453" s="9">
        <f>Base_de_dados!G453/Base_de_dados!H453</f>
        <v>3.5087719495229305E-2</v>
      </c>
      <c r="D453" s="9">
        <f>Base_de_dados!I453*300</f>
        <v>135000</v>
      </c>
      <c r="E453" s="10">
        <f>Base_de_dados!H453/Base_de_dados!I453</f>
        <v>18.999999893333335</v>
      </c>
      <c r="F453" s="11">
        <f>(D453-Base_de_dados!H453)/Base_de_dados!H453</f>
        <v>14.789473772853187</v>
      </c>
    </row>
    <row r="454" spans="1:6">
      <c r="A454" s="6" t="str">
        <f>Base_de_dados!A454</f>
        <v>Ad_18</v>
      </c>
      <c r="B454" s="8">
        <f>Base_de_dados!G454/Base_de_dados!F454</f>
        <v>5.1174162733837493E-3</v>
      </c>
      <c r="C454" s="9">
        <f>Base_de_dados!G454/Base_de_dados!H454</f>
        <v>2.879078652451178E-2</v>
      </c>
      <c r="D454" s="9">
        <f>Base_de_dados!I454*300</f>
        <v>135000</v>
      </c>
      <c r="E454" s="10">
        <f>Base_de_dados!H454/Base_de_dados!I454</f>
        <v>34.733333844444445</v>
      </c>
      <c r="F454" s="11">
        <f>(D454-Base_de_dados!H454)/Base_de_dados!H454</f>
        <v>7.6372359573535338</v>
      </c>
    </row>
    <row r="455" spans="1:6">
      <c r="A455" s="6" t="str">
        <f>Base_de_dados!A455</f>
        <v>Ad_18</v>
      </c>
      <c r="B455" s="8">
        <f>Base_de_dados!G455/Base_de_dados!F455</f>
        <v>5.9304519723245575E-3</v>
      </c>
      <c r="C455" s="9">
        <f>Base_de_dados!G455/Base_de_dados!H455</f>
        <v>2.7408638069530138E-2</v>
      </c>
      <c r="D455" s="9">
        <f>Base_de_dados!I455*300</f>
        <v>165000</v>
      </c>
      <c r="E455" s="10">
        <f>Base_de_dados!H455/Base_de_dados!I455</f>
        <v>109.45454467272727</v>
      </c>
      <c r="F455" s="11">
        <f>(D455-Base_de_dados!H455)/Base_de_dados!H455</f>
        <v>1.740863806953014</v>
      </c>
    </row>
    <row r="456" spans="1:6">
      <c r="A456" s="6" t="str">
        <f>Base_de_dados!A456</f>
        <v>Ad_18</v>
      </c>
      <c r="B456" s="8">
        <f>Base_de_dados!G456/Base_de_dados!F456</f>
        <v>4.7741584352218314E-3</v>
      </c>
      <c r="C456" s="9">
        <f>Base_de_dados!G456/Base_de_dados!H456</f>
        <v>2.9248318170374401E-2</v>
      </c>
      <c r="D456" s="9">
        <f>Base_de_dados!I456*300</f>
        <v>135000</v>
      </c>
      <c r="E456" s="10">
        <f>Base_de_dados!H456/Base_de_dados!I456</f>
        <v>75.977777911111119</v>
      </c>
      <c r="F456" s="11">
        <f>(D456-Base_de_dados!H456)/Base_de_dados!H456</f>
        <v>2.9485229530005439</v>
      </c>
    </row>
    <row r="457" spans="1:6">
      <c r="A457" s="6" t="str">
        <f>Base_de_dados!A457</f>
        <v>Ad_18</v>
      </c>
      <c r="B457" s="8">
        <f>Base_de_dados!G457/Base_de_dados!F457</f>
        <v>3.7999696002431979E-3</v>
      </c>
      <c r="C457" s="9">
        <f>Base_de_dados!G457/Base_de_dados!H457</f>
        <v>3.0864197435604326E-2</v>
      </c>
      <c r="D457" s="9">
        <f>Base_de_dados!I457*300</f>
        <v>180000</v>
      </c>
      <c r="E457" s="10">
        <f>Base_de_dados!H457/Base_de_dados!I457</f>
        <v>5.4000000166666666</v>
      </c>
      <c r="F457" s="11">
        <f>(D457-Base_de_dados!H457)/Base_de_dados!H457</f>
        <v>54.555555384087789</v>
      </c>
    </row>
    <row r="458" spans="1:6">
      <c r="A458" s="6" t="str">
        <f>Base_de_dados!A458</f>
        <v>Ad_18</v>
      </c>
      <c r="B458" s="8">
        <f>Base_de_dados!G458/Base_de_dados!F458</f>
        <v>3.6558615647087496E-3</v>
      </c>
      <c r="C458" s="9">
        <f>Base_de_dados!G458/Base_de_dados!H458</f>
        <v>2.9182878781283603E-2</v>
      </c>
      <c r="D458" s="9">
        <f>Base_de_dados!I458*300</f>
        <v>165000</v>
      </c>
      <c r="E458" s="10">
        <f>Base_de_dados!H458/Base_de_dados!I458</f>
        <v>9.3454547363636369</v>
      </c>
      <c r="F458" s="11">
        <f>(D458-Base_de_dados!H458)/Base_de_dados!H458</f>
        <v>31.101166659411962</v>
      </c>
    </row>
    <row r="459" spans="1:6">
      <c r="A459" s="6" t="str">
        <f>Base_de_dados!A459</f>
        <v>Ad_18</v>
      </c>
      <c r="B459" s="8">
        <f>Base_de_dados!G459/Base_de_dados!F459</f>
        <v>6.8440726338615055E-3</v>
      </c>
      <c r="C459" s="9">
        <f>Base_de_dados!G459/Base_de_dados!H459</f>
        <v>2.7705947773691845E-2</v>
      </c>
      <c r="D459" s="9">
        <f>Base_de_dados!I459*300</f>
        <v>510000</v>
      </c>
      <c r="E459" s="10">
        <f>Base_de_dados!H459/Base_de_dados!I459</f>
        <v>127.38823423529412</v>
      </c>
      <c r="F459" s="11">
        <f>(D459-Base_de_dados!H459)/Base_de_dados!H459</f>
        <v>1.3550055607638067</v>
      </c>
    </row>
    <row r="460" spans="1:6">
      <c r="A460" s="6" t="str">
        <f>Base_de_dados!A460</f>
        <v>Ad_18</v>
      </c>
      <c r="B460" s="8">
        <f>Base_de_dados!G460/Base_de_dados!F460</f>
        <v>6.6350853297011455E-3</v>
      </c>
      <c r="C460" s="9">
        <f>Base_de_dados!G460/Base_de_dados!H460</f>
        <v>2.8473192095476427E-2</v>
      </c>
      <c r="D460" s="9">
        <f>Base_de_dados!I460*300</f>
        <v>195000</v>
      </c>
      <c r="E460" s="10">
        <f>Base_de_dados!H460/Base_de_dados!I460</f>
        <v>143.18461601538462</v>
      </c>
      <c r="F460" s="11">
        <f>(D460-Base_de_dados!H460)/Base_de_dados!H460</f>
        <v>1.0951971541954351</v>
      </c>
    </row>
    <row r="461" spans="1:6">
      <c r="A461" s="6" t="str">
        <f>Base_de_dados!A461</f>
        <v>Ad_18</v>
      </c>
      <c r="B461" s="8">
        <f>Base_de_dados!G461/Base_de_dados!F461</f>
        <v>5.2843323069985699E-3</v>
      </c>
      <c r="C461" s="9">
        <f>Base_de_dados!G461/Base_de_dados!H461</f>
        <v>2.6757046389634779E-2</v>
      </c>
      <c r="D461" s="9">
        <f>Base_de_dados!I461*300</f>
        <v>135000</v>
      </c>
      <c r="E461" s="10">
        <f>Base_de_dados!H461/Base_de_dados!I461</f>
        <v>124.57777606666667</v>
      </c>
      <c r="F461" s="11">
        <f>(D461-Base_de_dados!H461)/Base_de_dados!H461</f>
        <v>1.4081341750671301</v>
      </c>
    </row>
    <row r="462" spans="1:6">
      <c r="A462" s="6" t="str">
        <f>Base_de_dados!A462</f>
        <v>Ad_18</v>
      </c>
      <c r="B462" s="8">
        <f>Base_de_dados!G462/Base_de_dados!F462</f>
        <v>5.9455540681015266E-3</v>
      </c>
      <c r="C462" s="9">
        <f>Base_de_dados!G462/Base_de_dados!H462</f>
        <v>2.8650647633259436E-2</v>
      </c>
      <c r="D462" s="9">
        <f>Base_de_dados!I462*300</f>
        <v>240000</v>
      </c>
      <c r="E462" s="10">
        <f>Base_de_dados!H462/Base_de_dados!I462</f>
        <v>67.6249983875</v>
      </c>
      <c r="F462" s="11">
        <f>(D462-Base_de_dados!H462)/Base_de_dados!H462</f>
        <v>3.4362293109562994</v>
      </c>
    </row>
    <row r="463" spans="1:6">
      <c r="A463" s="6" t="str">
        <f>Base_de_dados!A463</f>
        <v>Ad_18</v>
      </c>
      <c r="B463" s="8">
        <f>Base_de_dados!G463/Base_de_dados!F463</f>
        <v>4.3266817812083556E-3</v>
      </c>
      <c r="C463" s="9">
        <f>Base_de_dados!G463/Base_de_dados!H463</f>
        <v>3.2051281755424064E-2</v>
      </c>
      <c r="D463" s="9">
        <f>Base_de_dados!I463*300</f>
        <v>150000</v>
      </c>
      <c r="E463" s="10">
        <f>Base_de_dados!H463/Base_de_dados!I463</f>
        <v>15.600000143999999</v>
      </c>
      <c r="F463" s="11">
        <f>(D463-Base_de_dados!H463)/Base_de_dados!H463</f>
        <v>18.230769053254441</v>
      </c>
    </row>
    <row r="464" spans="1:6">
      <c r="A464" s="6" t="str">
        <f>Base_de_dados!A464</f>
        <v>Ad_18</v>
      </c>
      <c r="B464" s="8">
        <f>Base_de_dados!G464/Base_de_dados!F464</f>
        <v>3.8702685966406068E-3</v>
      </c>
      <c r="C464" s="9">
        <f>Base_de_dados!G464/Base_de_dados!H464</f>
        <v>2.8735632024265642E-2</v>
      </c>
      <c r="D464" s="9">
        <f>Base_de_dados!I464*300</f>
        <v>135000</v>
      </c>
      <c r="E464" s="10">
        <f>Base_de_dados!H464/Base_de_dados!I464</f>
        <v>11.600000064444446</v>
      </c>
      <c r="F464" s="11">
        <f>(D464-Base_de_dados!H464)/Base_de_dados!H464</f>
        <v>24.862068821839078</v>
      </c>
    </row>
    <row r="465" spans="1:6">
      <c r="A465" s="6" t="str">
        <f>Base_de_dados!A465</f>
        <v>Ad_18</v>
      </c>
      <c r="B465" s="8">
        <f>Base_de_dados!G465/Base_de_dados!F465</f>
        <v>7.3978946884552619E-3</v>
      </c>
      <c r="C465" s="9">
        <f>Base_de_dados!G465/Base_de_dados!H465</f>
        <v>2.8726816111259892E-2</v>
      </c>
      <c r="D465" s="9">
        <f>Base_de_dados!I465*300</f>
        <v>690000</v>
      </c>
      <c r="E465" s="10">
        <f>Base_de_dados!H465/Base_de_dados!I465</f>
        <v>155.89130560869563</v>
      </c>
      <c r="F465" s="11">
        <f>(D465-Base_de_dados!H465)/Base_de_dados!H465</f>
        <v>0.92441777832711902</v>
      </c>
    </row>
    <row r="466" spans="1:6">
      <c r="A466" s="6" t="str">
        <f>Base_de_dados!A466</f>
        <v>Ad_18</v>
      </c>
      <c r="B466" s="8">
        <f>Base_de_dados!G466/Base_de_dados!F466</f>
        <v>7.1661196678886631E-3</v>
      </c>
      <c r="C466" s="9">
        <f>Base_de_dados!G466/Base_de_dados!H466</f>
        <v>2.8292821858950178E-2</v>
      </c>
      <c r="D466" s="9">
        <f>Base_de_dados!I466*300</f>
        <v>345000</v>
      </c>
      <c r="E466" s="10">
        <f>Base_de_dados!H466/Base_de_dados!I466</f>
        <v>244.33913000000004</v>
      </c>
      <c r="F466" s="11">
        <f>(D466-Base_de_dados!H466)/Base_de_dados!H466</f>
        <v>0.22780170331293217</v>
      </c>
    </row>
    <row r="467" spans="1:6">
      <c r="A467" s="6" t="str">
        <f>Base_de_dados!A467</f>
        <v>Ad_18</v>
      </c>
      <c r="B467" s="8">
        <f>Base_de_dados!G467/Base_de_dados!F467</f>
        <v>5.5910996574806337E-3</v>
      </c>
      <c r="C467" s="9">
        <f>Base_de_dados!G467/Base_de_dados!H467</f>
        <v>2.8231410505688601E-2</v>
      </c>
      <c r="D467" s="9">
        <f>Base_de_dados!I467*300</f>
        <v>345000</v>
      </c>
      <c r="E467" s="10">
        <f>Base_de_dados!H467/Base_de_dados!I467</f>
        <v>100.10434852173913</v>
      </c>
      <c r="F467" s="11">
        <f>(D467-Base_de_dados!H467)/Base_de_dados!H467</f>
        <v>1.996872807526944</v>
      </c>
    </row>
    <row r="468" spans="1:6">
      <c r="A468" s="6" t="str">
        <f>Base_de_dados!A468</f>
        <v>Ad_18</v>
      </c>
      <c r="B468" s="8">
        <f>Base_de_dados!G468/Base_de_dados!F468</f>
        <v>6.1018571574307746E-3</v>
      </c>
      <c r="C468" s="9">
        <f>Base_de_dados!G468/Base_de_dados!H468</f>
        <v>2.9121353877951003E-2</v>
      </c>
      <c r="D468" s="9">
        <f>Base_de_dados!I468*300</f>
        <v>570000</v>
      </c>
      <c r="E468" s="10">
        <f>Base_de_dados!H468/Base_de_dados!I468</f>
        <v>115.66842210526316</v>
      </c>
      <c r="F468" s="11">
        <f>(D468-Base_de_dados!H468)/Base_de_dados!H468</f>
        <v>1.5936205797550114</v>
      </c>
    </row>
    <row r="469" spans="1:6">
      <c r="A469" s="6" t="str">
        <f>Base_de_dados!A469</f>
        <v>Ad_18</v>
      </c>
      <c r="B469" s="8">
        <f>Base_de_dados!G469/Base_de_dados!F469</f>
        <v>5.0428304398692902E-3</v>
      </c>
      <c r="C469" s="9">
        <f>Base_de_dados!G469/Base_de_dados!H469</f>
        <v>2.8835063514742579E-2</v>
      </c>
      <c r="D469" s="9">
        <f>Base_de_dados!I469*300</f>
        <v>195000</v>
      </c>
      <c r="E469" s="10">
        <f>Base_de_dados!H469/Base_de_dados!I469</f>
        <v>80.030769015384607</v>
      </c>
      <c r="F469" s="11">
        <f>(D469-Base_de_dados!H469)/Base_de_dados!H469</f>
        <v>2.7485582569165357</v>
      </c>
    </row>
    <row r="470" spans="1:6">
      <c r="A470" s="6" t="str">
        <f>Base_de_dados!A470</f>
        <v>Ad_18</v>
      </c>
      <c r="B470" s="8">
        <f>Base_de_dados!G470/Base_de_dados!F470</f>
        <v>4.8261489525063071E-3</v>
      </c>
      <c r="C470" s="9">
        <f>Base_de_dados!G470/Base_de_dados!H470</f>
        <v>3.1152648028013569E-2</v>
      </c>
      <c r="D470" s="9">
        <f>Base_de_dados!I470*300</f>
        <v>630000</v>
      </c>
      <c r="E470" s="10">
        <f>Base_de_dados!H470/Base_de_dados!I470</f>
        <v>16.814285685714282</v>
      </c>
      <c r="F470" s="11">
        <f>(D470-Base_de_dados!H470)/Base_de_dados!H470</f>
        <v>16.841971143316862</v>
      </c>
    </row>
    <row r="471" spans="1:6">
      <c r="A471" s="6" t="str">
        <f>Base_de_dados!A471</f>
        <v>Ad_18</v>
      </c>
      <c r="B471" s="8">
        <f>Base_de_dados!G471/Base_de_dados!F471</f>
        <v>5.077837910068818E-3</v>
      </c>
      <c r="C471" s="9">
        <f>Base_de_dados!G471/Base_de_dados!H471</f>
        <v>3.0006316640771007E-2</v>
      </c>
      <c r="D471" s="9">
        <f>Base_de_dados!I471*300</f>
        <v>300000</v>
      </c>
      <c r="E471" s="10">
        <f>Base_de_dados!H471/Base_de_dados!I471</f>
        <v>63.320001009999999</v>
      </c>
      <c r="F471" s="11">
        <f>(D471-Base_de_dados!H471)/Base_de_dados!H471</f>
        <v>3.7378394695954222</v>
      </c>
    </row>
    <row r="472" spans="1:6">
      <c r="A472" s="6" t="str">
        <f>Base_de_dados!A472</f>
        <v>Ad_18</v>
      </c>
      <c r="B472" s="8">
        <f>Base_de_dados!G472/Base_de_dados!F472</f>
        <v>7.1560831179054143E-3</v>
      </c>
      <c r="C472" s="9">
        <f>Base_de_dados!G472/Base_de_dados!H472</f>
        <v>2.9498524872521126E-2</v>
      </c>
      <c r="D472" s="9">
        <f>Base_de_dados!I472*300</f>
        <v>120000</v>
      </c>
      <c r="E472" s="10">
        <f>Base_de_dados!H472/Base_de_dados!I472</f>
        <v>135.60000092499999</v>
      </c>
      <c r="F472" s="11">
        <f>(D472-Base_de_dados!H472)/Base_de_dados!H472</f>
        <v>1.2123893654390845</v>
      </c>
    </row>
    <row r="473" spans="1:6">
      <c r="A473" s="6" t="str">
        <f>Base_de_dados!A473</f>
        <v>Ad_18</v>
      </c>
      <c r="B473" s="8">
        <f>Base_de_dados!G473/Base_de_dados!F473</f>
        <v>6.8863227036762365E-3</v>
      </c>
      <c r="C473" s="9">
        <f>Base_de_dados!G473/Base_de_dados!H473</f>
        <v>2.9894220469044438E-2</v>
      </c>
      <c r="D473" s="9">
        <f>Base_de_dados!I473*300</f>
        <v>165000</v>
      </c>
      <c r="E473" s="10">
        <f>Base_de_dados!H473/Base_de_dados!I473</f>
        <v>118.59999992727273</v>
      </c>
      <c r="F473" s="11">
        <f>(D473-Base_de_dados!H473)/Base_de_dados!H473</f>
        <v>1.5295109627652987</v>
      </c>
    </row>
    <row r="474" spans="1:6">
      <c r="A474" s="6" t="str">
        <f>Base_de_dados!A474</f>
        <v>Ad_18</v>
      </c>
      <c r="B474" s="8">
        <f>Base_de_dados!G474/Base_de_dados!F474</f>
        <v>3.6026515515419351E-3</v>
      </c>
      <c r="C474" s="9">
        <f>Base_de_dados!G474/Base_de_dados!H474</f>
        <v>3.5629453360114194E-2</v>
      </c>
      <c r="D474" s="9">
        <f>Base_de_dados!I474*300</f>
        <v>120000</v>
      </c>
      <c r="E474" s="10">
        <f>Base_de_dados!H474/Base_de_dados!I474</f>
        <v>10.525000095000001</v>
      </c>
      <c r="F474" s="11">
        <f>(D474-Base_de_dados!H474)/Base_de_dados!H474</f>
        <v>27.503562688091357</v>
      </c>
    </row>
    <row r="475" spans="1:6">
      <c r="A475" s="6" t="str">
        <f>Base_de_dados!A475</f>
        <v>Ad_18</v>
      </c>
      <c r="B475" s="8">
        <f>Base_de_dados!G475/Base_de_dados!F475</f>
        <v>7.5506649618943111E-3</v>
      </c>
      <c r="C475" s="9">
        <f>Base_de_dados!G475/Base_de_dados!H475</f>
        <v>3.0857848319043951E-2</v>
      </c>
      <c r="D475" s="9">
        <f>Base_de_dados!I475*300</f>
        <v>255000</v>
      </c>
      <c r="E475" s="10">
        <f>Base_de_dados!H475/Base_de_dados!I475</f>
        <v>57.188235035294127</v>
      </c>
      <c r="F475" s="11">
        <f>(D475-Base_de_dados!H475)/Base_de_dados!H475</f>
        <v>4.2458342142374716</v>
      </c>
    </row>
    <row r="476" spans="1:6">
      <c r="A476" s="6" t="str">
        <f>Base_de_dados!A476</f>
        <v>Ad_18</v>
      </c>
      <c r="B476" s="8">
        <f>Base_de_dados!G476/Base_de_dados!F476</f>
        <v>4.9703765557278616E-3</v>
      </c>
      <c r="C476" s="9">
        <f>Base_de_dados!G476/Base_de_dados!H476</f>
        <v>3.5919540952404558E-2</v>
      </c>
      <c r="D476" s="9">
        <f>Base_de_dados!I476*300</f>
        <v>210000</v>
      </c>
      <c r="E476" s="10">
        <f>Base_de_dados!H476/Base_de_dados!I476</f>
        <v>19.885713885714285</v>
      </c>
      <c r="F476" s="11">
        <f>(D476-Base_de_dados!H476)/Base_de_dados!H476</f>
        <v>14.086207200009916</v>
      </c>
    </row>
    <row r="477" spans="1:6">
      <c r="A477" s="6" t="str">
        <f>Base_de_dados!A477</f>
        <v>Ad_18</v>
      </c>
      <c r="B477" s="8">
        <f>Base_de_dados!G477/Base_de_dados!F477</f>
        <v>3.9050296782255547E-3</v>
      </c>
      <c r="C477" s="9">
        <f>Base_de_dados!G477/Base_de_dados!H477</f>
        <v>2.2603978913308651E-2</v>
      </c>
      <c r="D477" s="9">
        <f>Base_de_dados!I477*300</f>
        <v>135000</v>
      </c>
      <c r="E477" s="10">
        <f>Base_de_dados!H477/Base_de_dados!I477</f>
        <v>24.577777111111111</v>
      </c>
      <c r="F477" s="11">
        <f>(D477-Base_de_dados!H477)/Base_de_dados!H477</f>
        <v>11.20614861318667</v>
      </c>
    </row>
    <row r="478" spans="1:6">
      <c r="A478" s="6" t="str">
        <f>Base_de_dados!A478</f>
        <v>Ad_18</v>
      </c>
      <c r="B478" s="8">
        <f>Base_de_dados!G478/Base_de_dados!F478</f>
        <v>5.3103989962110919E-3</v>
      </c>
      <c r="C478" s="9">
        <f>Base_de_dados!G478/Base_de_dados!H478</f>
        <v>2.4593914213804708E-2</v>
      </c>
      <c r="D478" s="9">
        <f>Base_de_dados!I478*300</f>
        <v>180000</v>
      </c>
      <c r="E478" s="10">
        <f>Base_de_dados!H478/Base_de_dados!I478</f>
        <v>145.70000131666669</v>
      </c>
      <c r="F478" s="11">
        <f>(D478-Base_de_dados!H478)/Base_de_dados!H478</f>
        <v>1.0590253760394639</v>
      </c>
    </row>
    <row r="479" spans="1:6">
      <c r="A479" s="6" t="str">
        <f>Base_de_dados!A479</f>
        <v>Ad_18</v>
      </c>
      <c r="B479" s="8">
        <f>Base_de_dados!G479/Base_de_dados!F479</f>
        <v>2.246585190510424E-3</v>
      </c>
      <c r="C479" s="9">
        <f>Base_de_dados!G479/Base_de_dados!H479</f>
        <v>3.0120482526491521E-2</v>
      </c>
      <c r="D479" s="9">
        <f>Base_de_dados!I479*300</f>
        <v>150000</v>
      </c>
      <c r="E479" s="10">
        <f>Base_de_dados!H479/Base_de_dados!I479</f>
        <v>3.3199999340000002</v>
      </c>
      <c r="F479" s="11">
        <f>(D479-Base_de_dados!H479)/Base_de_dados!H479</f>
        <v>89.361447579474557</v>
      </c>
    </row>
    <row r="480" spans="1:6">
      <c r="A480" s="6" t="str">
        <f>Base_de_dados!A480</f>
        <v>Ad_18</v>
      </c>
      <c r="B480" s="8">
        <f>Base_de_dados!G480/Base_de_dados!F480</f>
        <v>3.4668053388802219E-3</v>
      </c>
      <c r="C480" s="9">
        <f>Base_de_dados!G480/Base_de_dados!H480</f>
        <v>2.9673590460424941E-2</v>
      </c>
      <c r="D480" s="9">
        <f>Base_de_dados!I480*300</f>
        <v>135000</v>
      </c>
      <c r="E480" s="10">
        <f>Base_de_dados!H480/Base_de_dados!I480</f>
        <v>14.9777778</v>
      </c>
      <c r="F480" s="11">
        <f>(D480-Base_de_dados!H480)/Base_de_dados!H480</f>
        <v>19.029673560786836</v>
      </c>
    </row>
    <row r="481" spans="1:6">
      <c r="A481" s="6" t="str">
        <f>Base_de_dados!A481</f>
        <v>Ad_18</v>
      </c>
      <c r="B481" s="8">
        <f>Base_de_dados!G481/Base_de_dados!F481</f>
        <v>1.0019236934915037E-2</v>
      </c>
      <c r="C481" s="9">
        <f>Base_de_dados!G481/Base_de_dados!H481</f>
        <v>3.0413624316248458E-2</v>
      </c>
      <c r="D481" s="9">
        <f>Base_de_dados!I481*300</f>
        <v>195000</v>
      </c>
      <c r="E481" s="10">
        <f>Base_de_dados!H481/Base_de_dados!I481</f>
        <v>12.646154256923076</v>
      </c>
      <c r="F481" s="11">
        <f>(D481-Base_de_dados!H481)/Base_de_dados!H481</f>
        <v>22.722626966673797</v>
      </c>
    </row>
    <row r="482" spans="1:6">
      <c r="A482" s="6" t="str">
        <f>Base_de_dados!A482</f>
        <v>Ad_18</v>
      </c>
      <c r="B482" s="8">
        <f>Base_de_dados!G482/Base_de_dados!F482</f>
        <v>3.8560411311053984E-3</v>
      </c>
      <c r="C482" s="9">
        <f>Base_de_dados!G482/Base_de_dados!H482</f>
        <v>2.6881720222954486E-2</v>
      </c>
      <c r="D482" s="9">
        <f>Base_de_dados!I482*300</f>
        <v>135000</v>
      </c>
      <c r="E482" s="10">
        <f>Base_de_dados!H482/Base_de_dados!I482</f>
        <v>12.400000095555555</v>
      </c>
      <c r="F482" s="11">
        <f>(D482-Base_de_dados!H482)/Base_de_dados!H482</f>
        <v>23.193548200659034</v>
      </c>
    </row>
    <row r="483" spans="1:6">
      <c r="A483" s="6" t="str">
        <f>Base_de_dados!A483</f>
        <v>Ad_18</v>
      </c>
      <c r="B483" s="8">
        <f>Base_de_dados!G483/Base_de_dados!F483</f>
        <v>5.6053811659192822E-3</v>
      </c>
      <c r="C483" s="9">
        <f>Base_de_dados!G483/Base_de_dados!H483</f>
        <v>3.2502708911188616E-2</v>
      </c>
      <c r="D483" s="9">
        <f>Base_de_dados!I483*300</f>
        <v>150000</v>
      </c>
      <c r="E483" s="10">
        <f>Base_de_dados!H483/Base_de_dados!I483</f>
        <v>18.459999799999999</v>
      </c>
      <c r="F483" s="11">
        <f>(D483-Base_de_dados!H483)/Base_de_dados!H483</f>
        <v>15.251354455594308</v>
      </c>
    </row>
    <row r="484" spans="1:6">
      <c r="A484" s="6" t="str">
        <f>Base_de_dados!A484</f>
        <v>Ad_18</v>
      </c>
      <c r="B484" s="8">
        <f>Base_de_dados!G484/Base_de_dados!F484</f>
        <v>5.5040922926195626E-3</v>
      </c>
      <c r="C484" s="9">
        <f>Base_de_dados!G484/Base_de_dados!H484</f>
        <v>2.9214139882557964E-2</v>
      </c>
      <c r="D484" s="9">
        <f>Base_de_dados!I484*300</f>
        <v>165000</v>
      </c>
      <c r="E484" s="10">
        <f>Base_de_dados!H484/Base_de_dados!I484</f>
        <v>62.236363127272725</v>
      </c>
      <c r="F484" s="11">
        <f>(D484-Base_de_dados!H484)/Base_de_dados!H484</f>
        <v>3.8203330806220648</v>
      </c>
    </row>
    <row r="485" spans="1:6">
      <c r="A485" s="6" t="str">
        <f>Base_de_dados!A485</f>
        <v>Ad_18</v>
      </c>
      <c r="B485" s="8">
        <f>Base_de_dados!G485/Base_de_dados!F485</f>
        <v>3.4264176803152305E-3</v>
      </c>
      <c r="C485" s="9">
        <f>Base_de_dados!G485/Base_de_dados!H485</f>
        <v>3.1746031987906272E-2</v>
      </c>
      <c r="D485" s="9">
        <f>Base_de_dados!I485*300</f>
        <v>135000</v>
      </c>
      <c r="E485" s="10">
        <f>Base_de_dados!H485/Base_de_dados!I485</f>
        <v>6.9999999466666667</v>
      </c>
      <c r="F485" s="11">
        <f>(D485-Base_de_dados!H485)/Base_de_dados!H485</f>
        <v>41.857143183673472</v>
      </c>
    </row>
    <row r="486" spans="1:6">
      <c r="A486" s="6" t="str">
        <f>Base_de_dados!A486</f>
        <v>Ad_18</v>
      </c>
      <c r="B486" s="8">
        <f>Base_de_dados!G486/Base_de_dados!F486</f>
        <v>6.1877064552057649E-3</v>
      </c>
      <c r="C486" s="9">
        <f>Base_de_dados!G486/Base_de_dados!H486</f>
        <v>3.2162296847965267E-2</v>
      </c>
      <c r="D486" s="9">
        <f>Base_de_dados!I486*300</f>
        <v>180000</v>
      </c>
      <c r="E486" s="10">
        <f>Base_de_dados!H486/Base_de_dados!I486</f>
        <v>33.683332333333333</v>
      </c>
      <c r="F486" s="11">
        <f>(D486-Base_de_dados!H486)/Base_de_dados!H486</f>
        <v>7.9064822040519207</v>
      </c>
    </row>
    <row r="487" spans="1:6">
      <c r="A487" s="6" t="str">
        <f>Base_de_dados!A487</f>
        <v>Ad_18</v>
      </c>
      <c r="B487" s="8">
        <f>Base_de_dados!G487/Base_de_dados!F487</f>
        <v>5.3823929771925436E-3</v>
      </c>
      <c r="C487" s="9">
        <f>Base_de_dados!G487/Base_de_dados!H487</f>
        <v>2.6076716095117917E-2</v>
      </c>
      <c r="D487" s="9">
        <f>Base_de_dados!I487*300</f>
        <v>195000</v>
      </c>
      <c r="E487" s="10">
        <f>Base_de_dados!H487/Base_de_dados!I487</f>
        <v>91.446153569230759</v>
      </c>
      <c r="F487" s="11">
        <f>(D487-Base_de_dados!H487)/Base_de_dados!H487</f>
        <v>2.2806191216438672</v>
      </c>
    </row>
    <row r="488" spans="1:6">
      <c r="A488" s="6" t="str">
        <f>Base_de_dados!A488</f>
        <v>Ad_18</v>
      </c>
      <c r="B488" s="8">
        <f>Base_de_dados!G488/Base_de_dados!F488</f>
        <v>5.1843996700836571E-3</v>
      </c>
      <c r="C488" s="9">
        <f>Base_de_dados!G488/Base_de_dados!H488</f>
        <v>2.8504794224450222E-2</v>
      </c>
      <c r="D488" s="9">
        <f>Base_de_dados!I488*300</f>
        <v>150000</v>
      </c>
      <c r="E488" s="10">
        <f>Base_de_dados!H488/Base_de_dados!I488</f>
        <v>77.179999359999996</v>
      </c>
      <c r="F488" s="11">
        <f>(D488-Base_de_dados!H488)/Base_de_dados!H488</f>
        <v>2.887017394243212</v>
      </c>
    </row>
    <row r="489" spans="1:6">
      <c r="A489" s="6" t="str">
        <f>Base_de_dados!A489</f>
        <v>Ad_18</v>
      </c>
      <c r="B489" s="8">
        <f>Base_de_dados!G489/Base_de_dados!F489</f>
        <v>4.4353050280230635E-3</v>
      </c>
      <c r="C489" s="9">
        <f>Base_de_dados!G489/Base_de_dados!H489</f>
        <v>2.5171624955882897E-2</v>
      </c>
      <c r="D489" s="9">
        <f>Base_de_dados!I489*300</f>
        <v>195000</v>
      </c>
      <c r="E489" s="10">
        <f>Base_de_dados!H489/Base_de_dados!I489</f>
        <v>33.615384292307688</v>
      </c>
      <c r="F489" s="11">
        <f>(D489-Base_de_dados!H489)/Base_de_dados!H489</f>
        <v>7.9244852116312083</v>
      </c>
    </row>
    <row r="490" spans="1:6">
      <c r="A490" s="6" t="str">
        <f>Base_de_dados!A490</f>
        <v>Ad_18</v>
      </c>
      <c r="B490" s="8">
        <f>Base_de_dados!G490/Base_de_dados!F490</f>
        <v>2.4482201439553443E-3</v>
      </c>
      <c r="C490" s="9">
        <f>Base_de_dados!G490/Base_de_dados!H490</f>
        <v>2.5510203587047076E-2</v>
      </c>
      <c r="D490" s="9">
        <f>Base_de_dados!I490*300</f>
        <v>135000</v>
      </c>
      <c r="E490" s="10">
        <f>Base_de_dados!H490/Base_de_dados!I490</f>
        <v>4.3555556399999995</v>
      </c>
      <c r="F490" s="11">
        <f>(D490-Base_de_dados!H490)/Base_de_dados!H490</f>
        <v>67.877549685027105</v>
      </c>
    </row>
    <row r="491" spans="1:6">
      <c r="A491" s="6" t="str">
        <f>Base_de_dados!A491</f>
        <v>Ad_18</v>
      </c>
      <c r="B491" s="8">
        <f>Base_de_dados!G491/Base_de_dados!F491</f>
        <v>6.7960505237813227E-3</v>
      </c>
      <c r="C491" s="9">
        <f>Base_de_dados!G491/Base_de_dados!H491</f>
        <v>3.1362007098203387E-2</v>
      </c>
      <c r="D491" s="9">
        <f>Base_de_dados!I491*300</f>
        <v>135000</v>
      </c>
      <c r="E491" s="10">
        <f>Base_de_dados!H491/Base_de_dados!I491</f>
        <v>49.600000111111115</v>
      </c>
      <c r="F491" s="11">
        <f>(D491-Base_de_dados!H491)/Base_de_dados!H491</f>
        <v>5.0483870832249389</v>
      </c>
    </row>
    <row r="492" spans="1:6">
      <c r="A492" s="6" t="str">
        <f>Base_de_dados!A492</f>
        <v>Ad_18</v>
      </c>
      <c r="B492" s="8">
        <f>Base_de_dados!G492/Base_de_dados!F492</f>
        <v>7.3756202226096289E-3</v>
      </c>
      <c r="C492" s="9">
        <f>Base_de_dados!G492/Base_de_dados!H492</f>
        <v>2.9934688197942847E-2</v>
      </c>
      <c r="D492" s="9">
        <f>Base_de_dados!I492*300</f>
        <v>255000</v>
      </c>
      <c r="E492" s="10">
        <f>Base_de_dados!H492/Base_de_dados!I492</f>
        <v>129.69411658823529</v>
      </c>
      <c r="F492" s="11">
        <f>(D492-Base_de_dados!H492)/Base_de_dados!H492</f>
        <v>1.3131349971137654</v>
      </c>
    </row>
    <row r="493" spans="1:6">
      <c r="A493" s="6" t="str">
        <f>Base_de_dados!A493</f>
        <v>Ad_18</v>
      </c>
      <c r="B493" s="8">
        <f>Base_de_dados!G493/Base_de_dados!F493</f>
        <v>6.0858034221433557E-3</v>
      </c>
      <c r="C493" s="9">
        <f>Base_de_dados!G493/Base_de_dados!H493</f>
        <v>3.1932772594025854E-2</v>
      </c>
      <c r="D493" s="9">
        <f>Base_de_dados!I493*300</f>
        <v>180000</v>
      </c>
      <c r="E493" s="10">
        <f>Base_de_dados!H493/Base_de_dados!I493</f>
        <v>49.583334133333338</v>
      </c>
      <c r="F493" s="11">
        <f>(D493-Base_de_dados!H493)/Base_de_dados!H493</f>
        <v>5.0504200704470037</v>
      </c>
    </row>
    <row r="494" spans="1:6">
      <c r="A494" s="6" t="str">
        <f>Base_de_dados!A494</f>
        <v>Ad_18</v>
      </c>
      <c r="B494" s="8">
        <f>Base_de_dados!G494/Base_de_dados!F494</f>
        <v>6.4505724883083372E-3</v>
      </c>
      <c r="C494" s="9">
        <f>Base_de_dados!G494/Base_de_dados!H494</f>
        <v>3.2485110726975276E-2</v>
      </c>
      <c r="D494" s="9">
        <f>Base_de_dados!I494*300</f>
        <v>135000</v>
      </c>
      <c r="E494" s="10">
        <f>Base_de_dados!H494/Base_de_dados!I494</f>
        <v>41.044444777777777</v>
      </c>
      <c r="F494" s="11">
        <f>(D494-Base_de_dados!H494)/Base_de_dados!H494</f>
        <v>6.3091499135694376</v>
      </c>
    </row>
    <row r="495" spans="1:6">
      <c r="A495" s="6" t="str">
        <f>Base_de_dados!A495</f>
        <v>Ad_18</v>
      </c>
      <c r="B495" s="8">
        <f>Base_de_dados!G495/Base_de_dados!F495</f>
        <v>7.9093247499965619E-3</v>
      </c>
      <c r="C495" s="9">
        <f>Base_de_dados!G495/Base_de_dados!H495</f>
        <v>3.1732891613321657E-2</v>
      </c>
      <c r="D495" s="9">
        <f>Base_de_dados!I495*300</f>
        <v>135000</v>
      </c>
      <c r="E495" s="10">
        <f>Base_de_dados!H495/Base_de_dados!I495</f>
        <v>80.533333888888905</v>
      </c>
      <c r="F495" s="11">
        <f>(D495-Base_de_dados!H495)/Base_de_dados!H495</f>
        <v>2.7251655372160206</v>
      </c>
    </row>
    <row r="496" spans="1:6">
      <c r="A496" s="6" t="str">
        <f>Base_de_dados!A496</f>
        <v>Ad_18</v>
      </c>
      <c r="B496" s="8">
        <f>Base_de_dados!G496/Base_de_dados!F496</f>
        <v>8.4341779881449194E-3</v>
      </c>
      <c r="C496" s="9">
        <f>Base_de_dados!G496/Base_de_dados!H496</f>
        <v>3.2705390027946937E-2</v>
      </c>
      <c r="D496" s="9">
        <f>Base_de_dados!I496*300</f>
        <v>180000</v>
      </c>
      <c r="E496" s="10">
        <f>Base_de_dados!H496/Base_de_dados!I496</f>
        <v>127.3999993</v>
      </c>
      <c r="F496" s="11">
        <f>(D496-Base_de_dados!H496)/Base_de_dados!H496</f>
        <v>1.3547880820121794</v>
      </c>
    </row>
    <row r="497" spans="1:6">
      <c r="A497" s="6" t="str">
        <f>Base_de_dados!A497</f>
        <v>Ad_18</v>
      </c>
      <c r="B497" s="8">
        <f>Base_de_dados!G497/Base_de_dados!F497</f>
        <v>5.4871835070941441E-3</v>
      </c>
      <c r="C497" s="9">
        <f>Base_de_dados!G497/Base_de_dados!H497</f>
        <v>2.9661016471559904E-2</v>
      </c>
      <c r="D497" s="9">
        <f>Base_de_dados!I497*300</f>
        <v>240000</v>
      </c>
      <c r="E497" s="10">
        <f>Base_de_dados!H497/Base_de_dados!I497</f>
        <v>14.7500002375</v>
      </c>
      <c r="F497" s="11">
        <f>(D497-Base_de_dados!H497)/Base_de_dados!H497</f>
        <v>19.338982723355361</v>
      </c>
    </row>
    <row r="498" spans="1:6">
      <c r="A498" s="6" t="str">
        <f>Base_de_dados!A498</f>
        <v>Ad_18</v>
      </c>
      <c r="B498" s="8">
        <f>Base_de_dados!G498/Base_de_dados!F498</f>
        <v>5.9060765090025481E-3</v>
      </c>
      <c r="C498" s="9">
        <f>Base_de_dados!G498/Base_de_dados!H498</f>
        <v>2.6099925613683295E-2</v>
      </c>
      <c r="D498" s="9">
        <f>Base_de_dados!I498*300</f>
        <v>165000</v>
      </c>
      <c r="E498" s="10">
        <f>Base_de_dados!H498/Base_de_dados!I498</f>
        <v>48.763636018181813</v>
      </c>
      <c r="F498" s="11">
        <f>(D498-Base_de_dados!H498)/Base_de_dados!H498</f>
        <v>5.1521253232253477</v>
      </c>
    </row>
    <row r="499" spans="1:6">
      <c r="A499" s="6" t="str">
        <f>Base_de_dados!A499</f>
        <v>Ad_18</v>
      </c>
      <c r="B499" s="8">
        <f>Base_de_dados!G499/Base_de_dados!F499</f>
        <v>7.9126114532968514E-3</v>
      </c>
      <c r="C499" s="9">
        <f>Base_de_dados!G499/Base_de_dados!H499</f>
        <v>2.8932540988694647E-2</v>
      </c>
      <c r="D499" s="9">
        <f>Base_de_dados!I499*300</f>
        <v>255000</v>
      </c>
      <c r="E499" s="10">
        <f>Base_de_dados!H499/Base_de_dados!I499</f>
        <v>77.258824882352954</v>
      </c>
      <c r="F499" s="11">
        <f>(D499-Base_de_dados!H499)/Base_de_dados!H499</f>
        <v>2.8830515537458603</v>
      </c>
    </row>
    <row r="500" spans="1:6">
      <c r="A500" s="6" t="str">
        <f>Base_de_dados!A500</f>
        <v>Ad_18</v>
      </c>
      <c r="B500" s="8">
        <f>Base_de_dados!G500/Base_de_dados!F500</f>
        <v>5.9133807980698725E-3</v>
      </c>
      <c r="C500" s="9">
        <f>Base_de_dados!G500/Base_de_dados!H500</f>
        <v>3.1017369486527842E-2</v>
      </c>
      <c r="D500" s="9">
        <f>Base_de_dados!I500*300</f>
        <v>165000</v>
      </c>
      <c r="E500" s="10">
        <f>Base_de_dados!H500/Base_de_dados!I500</f>
        <v>58.618182272727275</v>
      </c>
      <c r="F500" s="11">
        <f>(D500-Base_de_dados!H500)/Base_de_dados!H500</f>
        <v>4.117865965277093</v>
      </c>
    </row>
    <row r="501" spans="1:6">
      <c r="A501" s="6" t="str">
        <f>Base_de_dados!A501</f>
        <v>Ad_18</v>
      </c>
      <c r="B501" s="8">
        <f>Base_de_dados!G501/Base_de_dados!F501</f>
        <v>6.797888250376756E-3</v>
      </c>
      <c r="C501" s="9">
        <f>Base_de_dados!G501/Base_de_dados!H501</f>
        <v>2.89087948000443E-2</v>
      </c>
      <c r="D501" s="9">
        <f>Base_de_dados!I501*300</f>
        <v>570000</v>
      </c>
      <c r="E501" s="10">
        <f>Base_de_dados!H501/Base_de_dados!I501</f>
        <v>129.26315784210527</v>
      </c>
      <c r="F501" s="11">
        <f>(D501-Base_de_dados!H501)/Base_de_dados!H501</f>
        <v>1.3208469064824295</v>
      </c>
    </row>
    <row r="502" spans="1:6">
      <c r="A502" s="6" t="str">
        <f>Base_de_dados!A502</f>
        <v>Ad_18</v>
      </c>
      <c r="B502" s="8">
        <f>Base_de_dados!G502/Base_de_dados!F502</f>
        <v>5.8578564505650165E-3</v>
      </c>
      <c r="C502" s="9">
        <f>Base_de_dados!G502/Base_de_dados!H502</f>
        <v>3.1179138145242979E-2</v>
      </c>
      <c r="D502" s="9">
        <f>Base_de_dados!I502*300</f>
        <v>240000</v>
      </c>
      <c r="E502" s="10">
        <f>Base_de_dados!H502/Base_de_dados!I502</f>
        <v>22.050000125</v>
      </c>
      <c r="F502" s="11">
        <f>(D502-Base_de_dados!H502)/Base_de_dados!H502</f>
        <v>12.60544209974239</v>
      </c>
    </row>
    <row r="503" spans="1:6">
      <c r="A503" s="6" t="str">
        <f>Base_de_dados!A503</f>
        <v>Ad_18</v>
      </c>
      <c r="B503" s="8">
        <f>Base_de_dados!G503/Base_de_dados!F503</f>
        <v>6.7268314471297958E-3</v>
      </c>
      <c r="C503" s="9">
        <f>Base_de_dados!G503/Base_de_dados!H503</f>
        <v>3.242542206880078E-2</v>
      </c>
      <c r="D503" s="9">
        <f>Base_de_dados!I503*300</f>
        <v>195000</v>
      </c>
      <c r="E503" s="10">
        <f>Base_de_dados!H503/Base_de_dados!I503</f>
        <v>59.307691323076924</v>
      </c>
      <c r="F503" s="11">
        <f>(D503-Base_de_dados!H503)/Base_de_dados!H503</f>
        <v>4.058365842732921</v>
      </c>
    </row>
    <row r="504" spans="1:6">
      <c r="A504" s="6" t="str">
        <f>Base_de_dados!A504</f>
        <v>Ad_18</v>
      </c>
      <c r="B504" s="8">
        <f>Base_de_dados!G504/Base_de_dados!F504</f>
        <v>6.547819006895138E-3</v>
      </c>
      <c r="C504" s="9">
        <f>Base_de_dados!G504/Base_de_dados!H504</f>
        <v>2.8213935569794613E-2</v>
      </c>
      <c r="D504" s="9">
        <f>Base_de_dados!I504*300</f>
        <v>120000</v>
      </c>
      <c r="E504" s="10">
        <f>Base_de_dados!H504/Base_de_dados!I504</f>
        <v>101.899998775</v>
      </c>
      <c r="F504" s="11">
        <f>(D504-Base_de_dados!H504)/Base_de_dados!H504</f>
        <v>1.9440628420655248</v>
      </c>
    </row>
    <row r="505" spans="1:6">
      <c r="A505" s="6" t="str">
        <f>Base_de_dados!A505</f>
        <v>Ad_18</v>
      </c>
      <c r="B505" s="8">
        <f>Base_de_dados!G505/Base_de_dados!F505</f>
        <v>5.3782235727539195E-3</v>
      </c>
      <c r="C505" s="9">
        <f>Base_de_dados!G505/Base_de_dados!H505</f>
        <v>3.1397174229672552E-2</v>
      </c>
      <c r="D505" s="9">
        <f>Base_de_dados!I505*300</f>
        <v>135000</v>
      </c>
      <c r="E505" s="10">
        <f>Base_de_dados!H505/Base_de_dados!I505</f>
        <v>14.155555566666667</v>
      </c>
      <c r="F505" s="11">
        <f>(D505-Base_de_dados!H505)/Base_de_dados!H505</f>
        <v>20.193092605028973</v>
      </c>
    </row>
    <row r="506" spans="1:6">
      <c r="A506" s="6" t="str">
        <f>Base_de_dados!A506</f>
        <v>Ad_18</v>
      </c>
      <c r="B506" s="8">
        <f>Base_de_dados!G506/Base_de_dados!F506</f>
        <v>7.39949741452855E-3</v>
      </c>
      <c r="C506" s="9">
        <f>Base_de_dados!G506/Base_de_dados!H506</f>
        <v>2.8409090760335643E-2</v>
      </c>
      <c r="D506" s="9">
        <f>Base_de_dados!I506*300</f>
        <v>180000</v>
      </c>
      <c r="E506" s="10">
        <f>Base_de_dados!H506/Base_de_dados!I506</f>
        <v>149.60000078333334</v>
      </c>
      <c r="F506" s="11">
        <f>(D506-Base_de_dados!H506)/Base_de_dados!H506</f>
        <v>1.005347583082516</v>
      </c>
    </row>
    <row r="507" spans="1:6">
      <c r="A507" s="6" t="str">
        <f>Base_de_dados!A507</f>
        <v>Ad_18</v>
      </c>
      <c r="B507" s="8">
        <f>Base_de_dados!G507/Base_de_dados!F507</f>
        <v>2.989983555090447E-3</v>
      </c>
      <c r="C507" s="9">
        <f>Base_de_dados!G507/Base_de_dados!H507</f>
        <v>3.1250000703125017E-2</v>
      </c>
      <c r="D507" s="9">
        <f>Base_de_dados!I507*300</f>
        <v>135000</v>
      </c>
      <c r="E507" s="10">
        <f>Base_de_dados!H507/Base_de_dados!I507</f>
        <v>7.1111109511111117</v>
      </c>
      <c r="F507" s="11">
        <f>(D507-Base_de_dados!H507)/Base_de_dados!H507</f>
        <v>41.187500949218766</v>
      </c>
    </row>
    <row r="508" spans="1:6">
      <c r="A508" s="6" t="str">
        <f>Base_de_dados!A508</f>
        <v>Ad_18</v>
      </c>
      <c r="B508" s="8">
        <f>Base_de_dados!G508/Base_de_dados!F508</f>
        <v>3.4612615606136126E-3</v>
      </c>
      <c r="C508" s="9">
        <f>Base_de_dados!G508/Base_de_dados!H508</f>
        <v>3.3200531861046309E-2</v>
      </c>
      <c r="D508" s="9">
        <f>Base_de_dados!I508*300</f>
        <v>240000</v>
      </c>
      <c r="E508" s="10">
        <f>Base_de_dados!H508/Base_de_dados!I508</f>
        <v>9.4124998150000003</v>
      </c>
      <c r="F508" s="11">
        <f>(D508-Base_de_dados!H508)/Base_de_dados!H508</f>
        <v>30.872510586604452</v>
      </c>
    </row>
    <row r="509" spans="1:6">
      <c r="A509" s="6" t="str">
        <f>Base_de_dados!A509</f>
        <v>Ad_18</v>
      </c>
      <c r="B509" s="8">
        <f>Base_de_dados!G509/Base_de_dados!F509</f>
        <v>2.0121129197770578E-3</v>
      </c>
      <c r="C509" s="9">
        <f>Base_de_dados!G509/Base_de_dados!H509</f>
        <v>3.7174720401873959E-2</v>
      </c>
      <c r="D509" s="9">
        <f>Base_de_dados!I509*300</f>
        <v>165000</v>
      </c>
      <c r="E509" s="10">
        <f>Base_de_dados!H509/Base_de_dados!I509</f>
        <v>4.8909091945454541</v>
      </c>
      <c r="F509" s="11">
        <f>(D509-Base_de_dados!H509)/Base_de_dados!H509</f>
        <v>60.33828866309203</v>
      </c>
    </row>
    <row r="510" spans="1:6">
      <c r="A510" s="6" t="str">
        <f>Base_de_dados!A510</f>
        <v>Ad_18</v>
      </c>
      <c r="B510" s="8">
        <f>Base_de_dados!G510/Base_de_dados!F510</f>
        <v>4.7428080585578698E-3</v>
      </c>
      <c r="C510" s="9">
        <f>Base_de_dados!G510/Base_de_dados!H510</f>
        <v>3.2930845598556975E-2</v>
      </c>
      <c r="D510" s="9">
        <f>Base_de_dados!I510*300</f>
        <v>195000</v>
      </c>
      <c r="E510" s="10">
        <f>Base_de_dados!H510/Base_de_dados!I510</f>
        <v>42.046153369230773</v>
      </c>
      <c r="F510" s="11">
        <f>(D510-Base_de_dados!H510)/Base_de_dados!H510</f>
        <v>6.1350165463540112</v>
      </c>
    </row>
    <row r="511" spans="1:6">
      <c r="A511" s="6" t="str">
        <f>Base_de_dados!A511</f>
        <v>Ad_18</v>
      </c>
      <c r="B511" s="8">
        <f>Base_de_dados!G511/Base_de_dados!F511</f>
        <v>5.9195453789148995E-3</v>
      </c>
      <c r="C511" s="9">
        <f>Base_de_dados!G511/Base_de_dados!H511</f>
        <v>3.4393010032162906E-2</v>
      </c>
      <c r="D511" s="9">
        <f>Base_de_dados!I511*300</f>
        <v>150000</v>
      </c>
      <c r="E511" s="10">
        <f>Base_de_dados!H511/Base_de_dados!I511</f>
        <v>107.57999943999999</v>
      </c>
      <c r="F511" s="11">
        <f>(D511-Base_de_dados!H511)/Base_de_dados!H511</f>
        <v>1.788622435040236</v>
      </c>
    </row>
    <row r="512" spans="1:6">
      <c r="A512" s="6" t="str">
        <f>Base_de_dados!A512</f>
        <v>Ad_18</v>
      </c>
      <c r="B512" s="8">
        <f>Base_de_dados!G512/Base_de_dados!F512</f>
        <v>4.2273935099444403E-3</v>
      </c>
      <c r="C512" s="9">
        <f>Base_de_dados!G512/Base_de_dados!H512</f>
        <v>3.4420587330663235E-2</v>
      </c>
      <c r="D512" s="9">
        <f>Base_de_dados!I512*300</f>
        <v>300000</v>
      </c>
      <c r="E512" s="10">
        <f>Base_de_dados!H512/Base_de_dados!I512</f>
        <v>61.009999039999997</v>
      </c>
      <c r="F512" s="11">
        <f>(D512-Base_de_dados!H512)/Base_de_dados!H512</f>
        <v>3.9172267615233194</v>
      </c>
    </row>
    <row r="513" spans="1:6">
      <c r="A513" s="6" t="str">
        <f>Base_de_dados!A513</f>
        <v>Ad_18</v>
      </c>
      <c r="B513" s="8">
        <f>Base_de_dados!G513/Base_de_dados!F513</f>
        <v>5.4664488661941941E-3</v>
      </c>
      <c r="C513" s="9">
        <f>Base_de_dados!G513/Base_de_dados!H513</f>
        <v>3.6425970073122364E-2</v>
      </c>
      <c r="D513" s="9">
        <f>Base_de_dados!I513*300</f>
        <v>330000</v>
      </c>
      <c r="E513" s="10">
        <f>Base_de_dados!H513/Base_de_dados!I513</f>
        <v>42.427272145454545</v>
      </c>
      <c r="F513" s="11">
        <f>(D513-Base_de_dados!H513)/Base_de_dados!H513</f>
        <v>6.0709236024296356</v>
      </c>
    </row>
    <row r="514" spans="1:6">
      <c r="A514" s="6" t="str">
        <f>Base_de_dados!A514</f>
        <v>Ad_18</v>
      </c>
      <c r="B514" s="8">
        <f>Base_de_dados!G514/Base_de_dados!F514</f>
        <v>4.5636168184491812E-3</v>
      </c>
      <c r="C514" s="9">
        <f>Base_de_dados!G514/Base_de_dados!H514</f>
        <v>3.7159372910445881E-2</v>
      </c>
      <c r="D514" s="9">
        <f>Base_de_dados!I514*300</f>
        <v>120000</v>
      </c>
      <c r="E514" s="10">
        <f>Base_de_dados!H514/Base_de_dados!I514</f>
        <v>30.274999600000001</v>
      </c>
      <c r="F514" s="11">
        <f>(D514-Base_de_dados!H514)/Base_de_dados!H514</f>
        <v>8.9091661094522347</v>
      </c>
    </row>
    <row r="515" spans="1:6">
      <c r="A515" s="6" t="str">
        <f>Base_de_dados!A515</f>
        <v>Ad_18</v>
      </c>
      <c r="B515" s="8">
        <f>Base_de_dados!G515/Base_de_dados!F515</f>
        <v>1.9567939887288666E-3</v>
      </c>
      <c r="C515" s="9">
        <f>Base_de_dados!G515/Base_de_dados!H515</f>
        <v>3.1250000703125017E-2</v>
      </c>
      <c r="D515" s="9">
        <f>Base_de_dados!I515*300</f>
        <v>180000</v>
      </c>
      <c r="E515" s="10">
        <f>Base_de_dados!H515/Base_de_dados!I515</f>
        <v>5.3333332133333338</v>
      </c>
      <c r="F515" s="11">
        <f>(D515-Base_de_dados!H515)/Base_de_dados!H515</f>
        <v>55.250001265625023</v>
      </c>
    </row>
    <row r="516" spans="1:6">
      <c r="A516" s="6" t="str">
        <f>Base_de_dados!A516</f>
        <v>Ad_18</v>
      </c>
      <c r="B516" s="8">
        <f>Base_de_dados!G516/Base_de_dados!F516</f>
        <v>3.9745340762098839E-3</v>
      </c>
      <c r="C516" s="9">
        <f>Base_de_dados!G516/Base_de_dados!H516</f>
        <v>3.4278591301284245E-2</v>
      </c>
      <c r="D516" s="9">
        <f>Base_de_dados!I516*300</f>
        <v>210000</v>
      </c>
      <c r="E516" s="10">
        <f>Base_de_dados!H516/Base_de_dados!I516</f>
        <v>45.842857357142854</v>
      </c>
      <c r="F516" s="11">
        <f>(D516-Base_de_dados!H516)/Base_de_dados!H516</f>
        <v>5.5440947029724459</v>
      </c>
    </row>
    <row r="517" spans="1:6">
      <c r="A517" s="6" t="str">
        <f>Base_de_dados!A517</f>
        <v>Ad_19</v>
      </c>
      <c r="B517" s="8">
        <f>Base_de_dados!G517/Base_de_dados!F517</f>
        <v>9.8003857431828521E-3</v>
      </c>
      <c r="C517" s="9">
        <f>Base_de_dados!G517/Base_de_dados!H517</f>
        <v>3.2100667355899497E-2</v>
      </c>
      <c r="D517" s="9">
        <f>Base_de_dados!I517*300</f>
        <v>15000</v>
      </c>
      <c r="E517" s="10">
        <f>Base_de_dados!H517/Base_de_dados!I517</f>
        <v>778.80000819999998</v>
      </c>
      <c r="F517" s="11">
        <f>(D517-Base_de_dados!H517)/Base_de_dados!H517</f>
        <v>-0.61479199172920607</v>
      </c>
    </row>
    <row r="518" spans="1:6">
      <c r="A518" s="6" t="str">
        <f>Base_de_dados!A518</f>
        <v>Ad_19</v>
      </c>
      <c r="B518" s="8">
        <f>Base_de_dados!G518/Base_de_dados!F518</f>
        <v>1.0949047823876745E-2</v>
      </c>
      <c r="C518" s="9">
        <f>Base_de_dados!G518/Base_de_dados!H518</f>
        <v>3.6813042712518715E-2</v>
      </c>
      <c r="D518" s="9">
        <f>Base_de_dados!I518*300</f>
        <v>45000</v>
      </c>
      <c r="E518" s="10">
        <f>Base_de_dados!H518/Base_de_dados!I518</f>
        <v>253.53333073333332</v>
      </c>
      <c r="F518" s="11">
        <f>(D518-Base_de_dados!H518)/Base_de_dados!H518</f>
        <v>0.18327637290238724</v>
      </c>
    </row>
    <row r="519" spans="1:6">
      <c r="A519" s="6" t="str">
        <f>Base_de_dados!A519</f>
        <v>Ad_19</v>
      </c>
      <c r="B519" s="8">
        <f>Base_de_dados!G519/Base_de_dados!F519</f>
        <v>1.1167169108001642E-2</v>
      </c>
      <c r="C519" s="9">
        <f>Base_de_dados!G519/Base_de_dados!H519</f>
        <v>3.6430162462396672E-2</v>
      </c>
      <c r="D519" s="9">
        <f>Base_de_dados!I519*300</f>
        <v>210000</v>
      </c>
      <c r="E519" s="10">
        <f>Base_de_dados!H519/Base_de_dados!I519</f>
        <v>448.99999757142865</v>
      </c>
      <c r="F519" s="11">
        <f>(D519-Base_de_dados!H519)/Base_de_dados!H519</f>
        <v>-0.33184854872460245</v>
      </c>
    </row>
    <row r="520" spans="1:6">
      <c r="A520" s="6" t="str">
        <f>Base_de_dados!A520</f>
        <v>Ad_19</v>
      </c>
      <c r="B520" s="8">
        <f>Base_de_dados!G520/Base_de_dados!F520</f>
        <v>1.104352395286909E-2</v>
      </c>
      <c r="C520" s="9">
        <f>Base_de_dados!G520/Base_de_dados!H520</f>
        <v>3.5681399631675874E-2</v>
      </c>
      <c r="D520" s="9">
        <f>Base_de_dados!I520*300</f>
        <v>75000</v>
      </c>
      <c r="E520" s="10">
        <f>Base_de_dados!H520/Base_de_dados!I520</f>
        <v>695.04</v>
      </c>
      <c r="F520" s="11">
        <f>(D520-Base_de_dados!H520)/Base_de_dados!H520</f>
        <v>-0.5683701657458563</v>
      </c>
    </row>
    <row r="521" spans="1:6">
      <c r="A521" s="6" t="str">
        <f>Base_de_dados!A521</f>
        <v>Ad_19</v>
      </c>
      <c r="B521" s="8">
        <f>Base_de_dados!G521/Base_de_dados!F521</f>
        <v>9.4124379720337634E-3</v>
      </c>
      <c r="C521" s="9">
        <f>Base_de_dados!G521/Base_de_dados!H521</f>
        <v>3.3494103924633201E-2</v>
      </c>
      <c r="D521" s="9">
        <f>Base_de_dados!I521*300</f>
        <v>90000</v>
      </c>
      <c r="E521" s="10">
        <f>Base_de_dados!H521/Base_de_dados!I521</f>
        <v>124.40000413333335</v>
      </c>
      <c r="F521" s="11">
        <f>(D521-Base_de_dados!H521)/Base_de_dados!H521</f>
        <v>1.4115754825735902</v>
      </c>
    </row>
    <row r="522" spans="1:6">
      <c r="A522" s="6" t="str">
        <f>Base_de_dados!A522</f>
        <v>Ad_19</v>
      </c>
      <c r="B522" s="8">
        <f>Base_de_dados!G522/Base_de_dados!F522</f>
        <v>4.0544923775543305E-3</v>
      </c>
      <c r="C522" s="9">
        <f>Base_de_dados!G522/Base_de_dados!H522</f>
        <v>3.8022813760499645E-2</v>
      </c>
      <c r="D522" s="9">
        <f>Base_de_dados!I522*300</f>
        <v>15000</v>
      </c>
      <c r="E522" s="10">
        <f>Base_de_dados!H522/Base_de_dados!I522</f>
        <v>52.5999999</v>
      </c>
      <c r="F522" s="11">
        <f>(D522-Base_de_dados!H522)/Base_de_dados!H522</f>
        <v>4.7034220640749469</v>
      </c>
    </row>
    <row r="523" spans="1:6">
      <c r="A523" s="6" t="str">
        <f>Base_de_dados!A523</f>
        <v>Ad_19</v>
      </c>
      <c r="B523" s="8">
        <f>Base_de_dados!G523/Base_de_dados!F523</f>
        <v>8.4267378432058438E-3</v>
      </c>
      <c r="C523" s="9">
        <f>Base_de_dados!G523/Base_de_dados!H523</f>
        <v>3.2599219048483938E-2</v>
      </c>
      <c r="D523" s="9">
        <f>Base_de_dados!I523*300</f>
        <v>105000</v>
      </c>
      <c r="E523" s="10">
        <f>Base_de_dados!H523/Base_de_dados!I523</f>
        <v>753.74285914285713</v>
      </c>
      <c r="F523" s="11">
        <f>(D523-Base_de_dados!H523)/Base_de_dados!H523</f>
        <v>-0.60198627905920776</v>
      </c>
    </row>
    <row r="524" spans="1:6">
      <c r="A524" s="6" t="str">
        <f>Base_de_dados!A524</f>
        <v>Ad_19</v>
      </c>
      <c r="B524" s="8">
        <f>Base_de_dados!G524/Base_de_dados!F524</f>
        <v>8.356019192456713E-3</v>
      </c>
      <c r="C524" s="9">
        <f>Base_de_dados!G524/Base_de_dados!H524</f>
        <v>3.2183388981584168E-2</v>
      </c>
      <c r="D524" s="9">
        <f>Base_de_dados!I524*300</f>
        <v>150000</v>
      </c>
      <c r="E524" s="10">
        <f>Base_de_dados!H524/Base_de_dados!I524</f>
        <v>354.2199986</v>
      </c>
      <c r="F524" s="11">
        <f>(D524-Base_de_dados!H524)/Base_de_dados!H524</f>
        <v>-0.15306871101094288</v>
      </c>
    </row>
    <row r="525" spans="1:6">
      <c r="A525" s="6" t="str">
        <f>Base_de_dados!A525</f>
        <v>Ad_19</v>
      </c>
      <c r="B525" s="8">
        <f>Base_de_dados!G525/Base_de_dados!F525</f>
        <v>8.8962481075436171E-3</v>
      </c>
      <c r="C525" s="9">
        <f>Base_de_dados!G525/Base_de_dados!H525</f>
        <v>3.2321938208005253E-2</v>
      </c>
      <c r="D525" s="9">
        <f>Base_de_dados!I525*300</f>
        <v>225000</v>
      </c>
      <c r="E525" s="10">
        <f>Base_de_dados!H525/Base_de_dados!I525</f>
        <v>457.89333253333331</v>
      </c>
      <c r="F525" s="11">
        <f>(D525-Base_de_dados!H525)/Base_de_dados!H525</f>
        <v>-0.3448255768647584</v>
      </c>
    </row>
    <row r="526" spans="1:6">
      <c r="A526" s="6" t="str">
        <f>Base_de_dados!A526</f>
        <v>Ad_19</v>
      </c>
      <c r="B526" s="8">
        <f>Base_de_dados!G526/Base_de_dados!F526</f>
        <v>7.8548693359561765E-3</v>
      </c>
      <c r="C526" s="9">
        <f>Base_de_dados!G526/Base_de_dados!H526</f>
        <v>3.4607283180024803E-2</v>
      </c>
      <c r="D526" s="9">
        <f>Base_de_dados!I526*300</f>
        <v>75000</v>
      </c>
      <c r="E526" s="10">
        <f>Base_de_dados!H526/Base_de_dados!I526</f>
        <v>132.91999767999999</v>
      </c>
      <c r="F526" s="11">
        <f>(D526-Base_de_dados!H526)/Base_de_dados!H526</f>
        <v>1.2569967291320525</v>
      </c>
    </row>
    <row r="527" spans="1:6">
      <c r="A527" s="6" t="str">
        <f>Base_de_dados!A527</f>
        <v>Ad_19</v>
      </c>
      <c r="B527" s="8">
        <f>Base_de_dados!G527/Base_de_dados!F527</f>
        <v>8.8881626235647829E-3</v>
      </c>
      <c r="C527" s="9">
        <f>Base_de_dados!G527/Base_de_dados!H527</f>
        <v>3.4304952108364928E-2</v>
      </c>
      <c r="D527" s="9">
        <f>Base_de_dados!I527*300</f>
        <v>105000</v>
      </c>
      <c r="E527" s="10">
        <f>Base_de_dados!H527/Base_de_dados!I527</f>
        <v>670.45713771428575</v>
      </c>
      <c r="F527" s="11">
        <f>(D527-Base_de_dados!H527)/Base_de_dados!H527</f>
        <v>-0.55254410293437051</v>
      </c>
    </row>
    <row r="528" spans="1:6">
      <c r="A528" s="6" t="str">
        <f>Base_de_dados!A528</f>
        <v>Ad_19</v>
      </c>
      <c r="B528" s="8">
        <f>Base_de_dados!G528/Base_de_dados!F528</f>
        <v>8.1885562815512663E-3</v>
      </c>
      <c r="C528" s="9">
        <f>Base_de_dados!G528/Base_de_dados!H528</f>
        <v>3.2568915360712283E-2</v>
      </c>
      <c r="D528" s="9">
        <f>Base_de_dados!I528*300</f>
        <v>225000</v>
      </c>
      <c r="E528" s="10">
        <f>Base_de_dados!H528/Base_de_dados!I528</f>
        <v>397.10666413333337</v>
      </c>
      <c r="F528" s="11">
        <f>(D528-Base_de_dados!H528)/Base_de_dados!H528</f>
        <v>-0.24453546843708629</v>
      </c>
    </row>
    <row r="529" spans="1:6">
      <c r="A529" s="6" t="str">
        <f>Base_de_dados!A529</f>
        <v>Ad_19</v>
      </c>
      <c r="B529" s="8">
        <f>Base_de_dados!G529/Base_de_dados!F529</f>
        <v>1.0198150055579917E-2</v>
      </c>
      <c r="C529" s="9">
        <f>Base_de_dados!G529/Base_de_dados!H529</f>
        <v>3.224766242926911E-2</v>
      </c>
      <c r="D529" s="9">
        <f>Base_de_dados!I529*300</f>
        <v>45000</v>
      </c>
      <c r="E529" s="10">
        <f>Base_de_dados!H529/Base_de_dados!I529</f>
        <v>206.73333086666665</v>
      </c>
      <c r="F529" s="11">
        <f>(D529-Base_de_dados!H529)/Base_de_dados!H529</f>
        <v>0.45114480931711004</v>
      </c>
    </row>
    <row r="530" spans="1:6">
      <c r="A530" s="6" t="str">
        <f>Base_de_dados!A530</f>
        <v>Ad_19</v>
      </c>
      <c r="B530" s="8">
        <f>Base_de_dados!G530/Base_de_dados!F530</f>
        <v>1.1728485559302155E-2</v>
      </c>
      <c r="C530" s="9">
        <f>Base_de_dados!G530/Base_de_dados!H530</f>
        <v>3.307347078563138E-2</v>
      </c>
      <c r="D530" s="9">
        <f>Base_de_dados!I530*300</f>
        <v>45000</v>
      </c>
      <c r="E530" s="10">
        <f>Base_de_dados!H530/Base_de_dados!I530</f>
        <v>564.39999260000002</v>
      </c>
      <c r="F530" s="11">
        <f>(D530-Base_de_dados!H530)/Base_de_dados!H530</f>
        <v>-0.46846207665949569</v>
      </c>
    </row>
    <row r="531" spans="1:6">
      <c r="A531" s="6" t="str">
        <f>Base_de_dados!A531</f>
        <v>Ad_19</v>
      </c>
      <c r="B531" s="8">
        <f>Base_de_dados!G531/Base_de_dados!F531</f>
        <v>1.2006598951527645E-2</v>
      </c>
      <c r="C531" s="9">
        <f>Base_de_dados!G531/Base_de_dados!H531</f>
        <v>3.3224024107848964E-2</v>
      </c>
      <c r="D531" s="9">
        <f>Base_de_dados!I531*300</f>
        <v>15000</v>
      </c>
      <c r="E531" s="10">
        <f>Base_de_dados!H531/Base_de_dados!I531</f>
        <v>2317.6000519999998</v>
      </c>
      <c r="F531" s="11">
        <f>(D531-Base_de_dados!H531)/Base_de_dados!H531</f>
        <v>-0.87055575022915987</v>
      </c>
    </row>
    <row r="532" spans="1:6">
      <c r="A532" s="6" t="str">
        <f>Base_de_dados!A532</f>
        <v>Ad_19</v>
      </c>
      <c r="B532" s="8">
        <f>Base_de_dados!G532/Base_de_dados!F532</f>
        <v>1.1676786548341896E-2</v>
      </c>
      <c r="C532" s="9">
        <f>Base_de_dados!G532/Base_de_dados!H532</f>
        <v>3.3723819574529891E-2</v>
      </c>
      <c r="D532" s="9">
        <f>Base_de_dados!I532*300</f>
        <v>45000</v>
      </c>
      <c r="E532" s="10">
        <f>Base_de_dados!H532/Base_de_dados!I532</f>
        <v>563.40000153333335</v>
      </c>
      <c r="F532" s="11">
        <f>(D532-Base_de_dados!H532)/Base_de_dados!H532</f>
        <v>-0.46751863829689644</v>
      </c>
    </row>
    <row r="533" spans="1:6">
      <c r="A533" s="6" t="str">
        <f>Base_de_dados!A533</f>
        <v>Ad_19</v>
      </c>
      <c r="B533" s="8">
        <f>Base_de_dados!G533/Base_de_dados!F533</f>
        <v>1.0218157666172789E-2</v>
      </c>
      <c r="C533" s="9">
        <f>Base_de_dados!G533/Base_de_dados!H533</f>
        <v>3.0627872324458474E-2</v>
      </c>
      <c r="D533" s="9">
        <f>Base_de_dados!I533*300</f>
        <v>0</v>
      </c>
      <c r="E533" s="10" t="e">
        <f>Base_de_dados!H533/Base_de_dados!I533</f>
        <v>#DIV/0!</v>
      </c>
      <c r="F533" s="11">
        <f>(D533-Base_de_dados!H533)/Base_de_dados!H533</f>
        <v>-1</v>
      </c>
    </row>
    <row r="534" spans="1:6">
      <c r="A534" s="6" t="str">
        <f>Base_de_dados!A534</f>
        <v>Ad_19</v>
      </c>
      <c r="B534" s="8">
        <f>Base_de_dados!G534/Base_de_dados!F534</f>
        <v>9.5580363970025999E-3</v>
      </c>
      <c r="C534" s="9">
        <f>Base_de_dados!G534/Base_de_dados!H534</f>
        <v>3.1712474082483733E-2</v>
      </c>
      <c r="D534" s="9">
        <f>Base_de_dados!I534*300</f>
        <v>15000</v>
      </c>
      <c r="E534" s="10">
        <f>Base_de_dados!H534/Base_de_dados!I534</f>
        <v>472.9999924</v>
      </c>
      <c r="F534" s="11">
        <f>(D534-Base_de_dados!H534)/Base_de_dados!H534</f>
        <v>-0.3657505183503254</v>
      </c>
    </row>
    <row r="535" spans="1:6">
      <c r="A535" s="6" t="str">
        <f>Base_de_dados!A535</f>
        <v>Ad_19</v>
      </c>
      <c r="B535" s="8">
        <f>Base_de_dados!G535/Base_de_dados!F535</f>
        <v>9.6728726589345101E-3</v>
      </c>
      <c r="C535" s="9">
        <f>Base_de_dados!G535/Base_de_dados!H535</f>
        <v>3.5254616573405707E-2</v>
      </c>
      <c r="D535" s="9">
        <f>Base_de_dados!I535*300</f>
        <v>30000</v>
      </c>
      <c r="E535" s="10">
        <f>Base_de_dados!H535/Base_de_dados!I535</f>
        <v>893.50000260000002</v>
      </c>
      <c r="F535" s="11">
        <f>(D535-Base_de_dados!H535)/Base_de_dados!H535</f>
        <v>-0.66424174691994564</v>
      </c>
    </row>
    <row r="536" spans="1:6">
      <c r="A536" s="6" t="str">
        <f>Base_de_dados!A536</f>
        <v>Ad_19</v>
      </c>
      <c r="B536" s="8">
        <f>Base_de_dados!G536/Base_de_dados!F536</f>
        <v>9.0529142839899206E-3</v>
      </c>
      <c r="C536" s="9">
        <f>Base_de_dados!G536/Base_de_dados!H536</f>
        <v>3.4682080543954032E-2</v>
      </c>
      <c r="D536" s="9">
        <f>Base_de_dados!I536*300</f>
        <v>60000</v>
      </c>
      <c r="E536" s="10">
        <f>Base_de_dados!H536/Base_de_dados!I536</f>
        <v>86.50000095</v>
      </c>
      <c r="F536" s="11">
        <f>(D536-Base_de_dados!H536)/Base_de_dados!H536</f>
        <v>2.468208054395403</v>
      </c>
    </row>
    <row r="537" spans="1:6">
      <c r="A537" s="6" t="str">
        <f>Base_de_dados!A537</f>
        <v>Ad_19</v>
      </c>
      <c r="B537" s="8">
        <f>Base_de_dados!G537/Base_de_dados!F537</f>
        <v>8.6019655491279753E-3</v>
      </c>
      <c r="C537" s="9">
        <f>Base_de_dados!G537/Base_de_dados!H537</f>
        <v>3.4275921635316842E-2</v>
      </c>
      <c r="D537" s="9">
        <f>Base_de_dados!I537*300</f>
        <v>0</v>
      </c>
      <c r="E537" s="10" t="e">
        <f>Base_de_dados!H537/Base_de_dados!I537</f>
        <v>#DIV/0!</v>
      </c>
      <c r="F537" s="11">
        <f>(D537-Base_de_dados!H537)/Base_de_dados!H537</f>
        <v>-1</v>
      </c>
    </row>
    <row r="538" spans="1:6">
      <c r="A538" s="6" t="str">
        <f>Base_de_dados!A538</f>
        <v>Ad_19</v>
      </c>
      <c r="B538" s="8">
        <f>Base_de_dados!G538/Base_de_dados!F538</f>
        <v>1.2303710252180491E-2</v>
      </c>
      <c r="C538" s="9">
        <f>Base_de_dados!G538/Base_de_dados!H538</f>
        <v>3.2958984053134924E-2</v>
      </c>
      <c r="D538" s="9">
        <f>Base_de_dados!I538*300</f>
        <v>15000</v>
      </c>
      <c r="E538" s="10">
        <f>Base_de_dados!H538/Base_de_dados!I538</f>
        <v>819.20000799999991</v>
      </c>
      <c r="F538" s="11">
        <f>(D538-Base_de_dados!H538)/Base_de_dados!H538</f>
        <v>-0.63378906607627861</v>
      </c>
    </row>
    <row r="539" spans="1:6">
      <c r="A539" s="6" t="str">
        <f>Base_de_dados!A539</f>
        <v>Ad_19</v>
      </c>
      <c r="B539" s="8">
        <f>Base_de_dados!G539/Base_de_dados!F539</f>
        <v>1.4713177121429952E-2</v>
      </c>
      <c r="C539" s="9">
        <f>Base_de_dados!G539/Base_de_dados!H539</f>
        <v>3.4923169021168793E-2</v>
      </c>
      <c r="D539" s="9">
        <f>Base_de_dados!I539*300</f>
        <v>75000</v>
      </c>
      <c r="E539" s="10">
        <f>Base_de_dados!H539/Base_de_dados!I539</f>
        <v>200.44000004</v>
      </c>
      <c r="F539" s="11">
        <f>(D539-Base_de_dados!H539)/Base_de_dados!H539</f>
        <v>0.4967072437643768</v>
      </c>
    </row>
    <row r="540" spans="1:6">
      <c r="A540" s="6" t="str">
        <f>Base_de_dados!A540</f>
        <v>Ad_19</v>
      </c>
      <c r="B540" s="8">
        <f>Base_de_dados!G540/Base_de_dados!F540</f>
        <v>1.0605841787919269E-2</v>
      </c>
      <c r="C540" s="9">
        <f>Base_de_dados!G540/Base_de_dados!H540</f>
        <v>3.5184907562124008E-2</v>
      </c>
      <c r="D540" s="9">
        <f>Base_de_dados!I540*300</f>
        <v>105000</v>
      </c>
      <c r="E540" s="10">
        <f>Base_de_dados!H540/Base_de_dados!I540</f>
        <v>190.8285733714286</v>
      </c>
      <c r="F540" s="11">
        <f>(D540-Base_de_dados!H540)/Base_de_dados!H540</f>
        <v>0.57209161447788115</v>
      </c>
    </row>
    <row r="541" spans="1:6">
      <c r="A541" s="6" t="str">
        <f>Base_de_dados!A541</f>
        <v>Ad_19</v>
      </c>
      <c r="B541" s="8">
        <f>Base_de_dados!G541/Base_de_dados!F541</f>
        <v>5.9944850737321661E-3</v>
      </c>
      <c r="C541" s="9">
        <f>Base_de_dados!G541/Base_de_dados!H541</f>
        <v>3.0487805138310529E-2</v>
      </c>
      <c r="D541" s="9">
        <f>Base_de_dados!I541*300</f>
        <v>45000</v>
      </c>
      <c r="E541" s="10">
        <f>Base_de_dados!H541/Base_de_dados!I541</f>
        <v>10.93333324</v>
      </c>
      <c r="F541" s="11">
        <f>(D541-Base_de_dados!H541)/Base_de_dados!H541</f>
        <v>26.439024624479476</v>
      </c>
    </row>
    <row r="542" spans="1:6">
      <c r="A542" s="6" t="str">
        <f>Base_de_dados!A542</f>
        <v>Ad_19</v>
      </c>
      <c r="B542" s="8">
        <f>Base_de_dados!G542/Base_de_dados!F542</f>
        <v>1.0803174471267711E-2</v>
      </c>
      <c r="C542" s="9">
        <f>Base_de_dados!G542/Base_de_dados!H542</f>
        <v>3.5881866550298278E-2</v>
      </c>
      <c r="D542" s="9">
        <f>Base_de_dados!I542*300</f>
        <v>60000</v>
      </c>
      <c r="E542" s="10">
        <f>Base_de_dados!H542/Base_de_dados!I542</f>
        <v>181.14999650000001</v>
      </c>
      <c r="F542" s="11">
        <f>(D542-Base_de_dados!H542)/Base_de_dados!H542</f>
        <v>0.656086148475305</v>
      </c>
    </row>
    <row r="543" spans="1:6">
      <c r="A543" s="6" t="str">
        <f>Base_de_dados!A543</f>
        <v>Ad_19</v>
      </c>
      <c r="B543" s="8">
        <f>Base_de_dados!G543/Base_de_dados!F543</f>
        <v>1.0983097013695922E-2</v>
      </c>
      <c r="C543" s="9">
        <f>Base_de_dados!G543/Base_de_dados!H543</f>
        <v>3.1811674940341726E-2</v>
      </c>
      <c r="D543" s="9">
        <f>Base_de_dados!I543*300</f>
        <v>15000</v>
      </c>
      <c r="E543" s="10">
        <f>Base_de_dados!H543/Base_de_dados!I543</f>
        <v>1257.3999977999999</v>
      </c>
      <c r="F543" s="11">
        <f>(D543-Base_de_dados!H543)/Base_de_dados!H543</f>
        <v>-0.76141243794743707</v>
      </c>
    </row>
    <row r="544" spans="1:6">
      <c r="A544" s="6" t="str">
        <f>Base_de_dados!A544</f>
        <v>Ad_19</v>
      </c>
      <c r="B544" s="8">
        <f>Base_de_dados!G544/Base_de_dados!F544</f>
        <v>1.1429927947492669E-2</v>
      </c>
      <c r="C544" s="9">
        <f>Base_de_dados!G544/Base_de_dados!H544</f>
        <v>3.6322994986197857E-2</v>
      </c>
      <c r="D544" s="9">
        <f>Base_de_dados!I544*300</f>
        <v>0</v>
      </c>
      <c r="E544" s="10" t="e">
        <f>Base_de_dados!H544/Base_de_dados!I544</f>
        <v>#DIV/0!</v>
      </c>
      <c r="F544" s="11">
        <f>(D544-Base_de_dados!H544)/Base_de_dados!H544</f>
        <v>-1</v>
      </c>
    </row>
    <row r="545" spans="1:6">
      <c r="A545" s="6" t="str">
        <f>Base_de_dados!A545</f>
        <v>Ad_19</v>
      </c>
      <c r="B545" s="8">
        <f>Base_de_dados!G545/Base_de_dados!F545</f>
        <v>1.0942511848837287E-2</v>
      </c>
      <c r="C545" s="9">
        <f>Base_de_dados!G545/Base_de_dados!H545</f>
        <v>3.2809335371544728E-2</v>
      </c>
      <c r="D545" s="9">
        <f>Base_de_dados!I545*300</f>
        <v>45000</v>
      </c>
      <c r="E545" s="10">
        <f>Base_de_dados!H545/Base_de_dados!I545</f>
        <v>2336.7333046666663</v>
      </c>
      <c r="F545" s="11">
        <f>(D545-Base_de_dados!H545)/Base_de_dados!H545</f>
        <v>-0.87161564419830329</v>
      </c>
    </row>
    <row r="546" spans="1:6">
      <c r="A546" s="6" t="str">
        <f>Base_de_dados!A546</f>
        <v>Ad_19</v>
      </c>
      <c r="B546" s="8">
        <f>Base_de_dados!G546/Base_de_dados!F546</f>
        <v>1.1236594118960851E-2</v>
      </c>
      <c r="C546" s="9">
        <f>Base_de_dados!G546/Base_de_dados!H546</f>
        <v>3.7905377196254052E-2</v>
      </c>
      <c r="D546" s="9">
        <f>Base_de_dados!I546*300</f>
        <v>210000</v>
      </c>
      <c r="E546" s="10">
        <f>Base_de_dados!H546/Base_de_dados!I546</f>
        <v>305.27142657142855</v>
      </c>
      <c r="F546" s="11">
        <f>(D546-Base_de_dados!H546)/Base_de_dados!H546</f>
        <v>-1.7267998615635688E-2</v>
      </c>
    </row>
    <row r="547" spans="1:6">
      <c r="A547" s="6" t="str">
        <f>Base_de_dados!A547</f>
        <v>Ad_19</v>
      </c>
      <c r="B547" s="8">
        <f>Base_de_dados!G547/Base_de_dados!F547</f>
        <v>9.7297560263676381E-3</v>
      </c>
      <c r="C547" s="9">
        <f>Base_de_dados!G547/Base_de_dados!H547</f>
        <v>3.649634983217008E-2</v>
      </c>
      <c r="D547" s="9">
        <f>Base_de_dados!I547*300</f>
        <v>30000</v>
      </c>
      <c r="E547" s="10">
        <f>Base_de_dados!H547/Base_de_dados!I547</f>
        <v>109.6000016</v>
      </c>
      <c r="F547" s="11">
        <f>(D547-Base_de_dados!H547)/Base_de_dados!H547</f>
        <v>1.7372262374127558</v>
      </c>
    </row>
    <row r="548" spans="1:6">
      <c r="A548" s="6" t="str">
        <f>Base_de_dados!A548</f>
        <v>Ad_19</v>
      </c>
      <c r="B548" s="8">
        <f>Base_de_dados!G548/Base_de_dados!F548</f>
        <v>8.4109382569844439E-3</v>
      </c>
      <c r="C548" s="9">
        <f>Base_de_dados!G548/Base_de_dados!H548</f>
        <v>3.3422460232634621E-2</v>
      </c>
      <c r="D548" s="9">
        <f>Base_de_dados!I548*300</f>
        <v>105000</v>
      </c>
      <c r="E548" s="10">
        <f>Base_de_dados!H548/Base_de_dados!I548</f>
        <v>106.85714177142857</v>
      </c>
      <c r="F548" s="11">
        <f>(D548-Base_de_dados!H548)/Base_de_dados!H548</f>
        <v>1.8074866595413082</v>
      </c>
    </row>
    <row r="549" spans="1:6">
      <c r="A549" s="6" t="str">
        <f>Base_de_dados!A549</f>
        <v>Ad_19</v>
      </c>
      <c r="B549" s="8">
        <f>Base_de_dados!G549/Base_de_dados!F549</f>
        <v>9.5438735401408258E-3</v>
      </c>
      <c r="C549" s="9">
        <f>Base_de_dados!G549/Base_de_dados!H549</f>
        <v>3.2017834694763603E-2</v>
      </c>
      <c r="D549" s="9">
        <f>Base_de_dados!I549*300</f>
        <v>315000</v>
      </c>
      <c r="E549" s="10">
        <f>Base_de_dados!H549/Base_de_dados!I549</f>
        <v>200.78095504761905</v>
      </c>
      <c r="F549" s="11">
        <f>(D549-Base_de_dados!H549)/Base_de_dados!H549</f>
        <v>0.49416561908896822</v>
      </c>
    </row>
    <row r="550" spans="1:6">
      <c r="A550" s="6" t="str">
        <f>Base_de_dados!A550</f>
        <v>Ad_19</v>
      </c>
      <c r="B550" s="8">
        <f>Base_de_dados!G550/Base_de_dados!F550</f>
        <v>9.312587753230751E-3</v>
      </c>
      <c r="C550" s="9">
        <f>Base_de_dados!G550/Base_de_dados!H550</f>
        <v>3.065314761120002E-2</v>
      </c>
      <c r="D550" s="9">
        <f>Base_de_dados!I550*300</f>
        <v>30000</v>
      </c>
      <c r="E550" s="10">
        <f>Base_de_dados!H550/Base_de_dados!I550</f>
        <v>424.1000032</v>
      </c>
      <c r="F550" s="11">
        <f>(D550-Base_de_dados!H550)/Base_de_dados!H550</f>
        <v>-0.29261967051076881</v>
      </c>
    </row>
    <row r="551" spans="1:6">
      <c r="A551" s="6" t="str">
        <f>Base_de_dados!A551</f>
        <v>Ad_19</v>
      </c>
      <c r="B551" s="8">
        <f>Base_de_dados!G551/Base_de_dados!F551</f>
        <v>1.0436531655898064E-2</v>
      </c>
      <c r="C551" s="9">
        <f>Base_de_dados!G551/Base_de_dados!H551</f>
        <v>3.3132530789120353E-2</v>
      </c>
      <c r="D551" s="9">
        <f>Base_de_dados!I551*300</f>
        <v>45000</v>
      </c>
      <c r="E551" s="10">
        <f>Base_de_dados!H551/Base_de_dados!I551</f>
        <v>221.33332886666665</v>
      </c>
      <c r="F551" s="11">
        <f>(D551-Base_de_dados!H551)/Base_de_dados!H551</f>
        <v>0.35542171410037804</v>
      </c>
    </row>
    <row r="552" spans="1:6">
      <c r="A552" s="6" t="str">
        <f>Base_de_dados!A552</f>
        <v>Ad_19</v>
      </c>
      <c r="B552" s="8">
        <f>Base_de_dados!G552/Base_de_dados!F552</f>
        <v>1.1242119274388654E-2</v>
      </c>
      <c r="C552" s="9">
        <f>Base_de_dados!G552/Base_de_dados!H552</f>
        <v>3.4288848777116958E-2</v>
      </c>
      <c r="D552" s="9">
        <f>Base_de_dados!I552*300</f>
        <v>0</v>
      </c>
      <c r="E552" s="10" t="e">
        <f>Base_de_dados!H552/Base_de_dados!I552</f>
        <v>#DIV/0!</v>
      </c>
      <c r="F552" s="11">
        <f>(D552-Base_de_dados!H552)/Base_de_dados!H552</f>
        <v>-1</v>
      </c>
    </row>
    <row r="553" spans="1:6">
      <c r="A553" s="6" t="str">
        <f>Base_de_dados!A553</f>
        <v>Ad_19</v>
      </c>
      <c r="B553" s="8">
        <f>Base_de_dados!G553/Base_de_dados!F553</f>
        <v>1.0760489940479118E-2</v>
      </c>
      <c r="C553" s="9">
        <f>Base_de_dados!G553/Base_de_dados!H553</f>
        <v>3.5728868792358259E-2</v>
      </c>
      <c r="D553" s="9">
        <f>Base_de_dados!I553*300</f>
        <v>150000</v>
      </c>
      <c r="E553" s="10">
        <f>Base_de_dados!H553/Base_de_dados!I553</f>
        <v>587.76000220000003</v>
      </c>
      <c r="F553" s="11">
        <f>(D553-Base_de_dados!H553)/Base_de_dados!H553</f>
        <v>-0.48958758868059632</v>
      </c>
    </row>
    <row r="554" spans="1:6">
      <c r="A554" s="6" t="str">
        <f>Base_de_dados!A554</f>
        <v>Ad_19</v>
      </c>
      <c r="B554" s="8">
        <f>Base_de_dados!G554/Base_de_dados!F554</f>
        <v>1.0791677458344124E-2</v>
      </c>
      <c r="C554" s="9">
        <f>Base_de_dados!G554/Base_de_dados!H554</f>
        <v>3.741394798697506E-2</v>
      </c>
      <c r="D554" s="9">
        <f>Base_de_dados!I554*300</f>
        <v>90000</v>
      </c>
      <c r="E554" s="10">
        <f>Base_de_dados!H554/Base_de_dados!I554</f>
        <v>556.83333233333337</v>
      </c>
      <c r="F554" s="11">
        <f>(D554-Base_de_dados!H554)/Base_de_dados!H554</f>
        <v>-0.46123914898755913</v>
      </c>
    </row>
    <row r="555" spans="1:6">
      <c r="A555" s="6" t="str">
        <f>Base_de_dados!A555</f>
        <v>Ad_19</v>
      </c>
      <c r="B555" s="8">
        <f>Base_de_dados!G555/Base_de_dados!F555</f>
        <v>9.0082475510912217E-3</v>
      </c>
      <c r="C555" s="9">
        <f>Base_de_dados!G555/Base_de_dados!H555</f>
        <v>3.2714054663052876E-2</v>
      </c>
      <c r="D555" s="9">
        <f>Base_de_dados!I555*300</f>
        <v>135000</v>
      </c>
      <c r="E555" s="10">
        <f>Base_de_dados!H555/Base_de_dados!I555</f>
        <v>275.11111333333332</v>
      </c>
      <c r="F555" s="11">
        <f>(D555-Base_de_dados!H555)/Base_de_dados!H555</f>
        <v>9.0468488768429098E-2</v>
      </c>
    </row>
    <row r="556" spans="1:6">
      <c r="A556" s="6" t="str">
        <f>Base_de_dados!A556</f>
        <v>Ad_19</v>
      </c>
      <c r="B556" s="8">
        <f>Base_de_dados!G556/Base_de_dados!F556</f>
        <v>8.8006864535433767E-3</v>
      </c>
      <c r="C556" s="9">
        <f>Base_de_dados!G556/Base_de_dados!H556</f>
        <v>3.2672111271442962E-2</v>
      </c>
      <c r="D556" s="9">
        <f>Base_de_dados!I556*300</f>
        <v>0</v>
      </c>
      <c r="E556" s="10" t="e">
        <f>Base_de_dados!H556/Base_de_dados!I556</f>
        <v>#DIV/0!</v>
      </c>
      <c r="F556" s="11">
        <f>(D556-Base_de_dados!H556)/Base_de_dados!H556</f>
        <v>-1</v>
      </c>
    </row>
    <row r="557" spans="1:6">
      <c r="A557" s="6" t="str">
        <f>Base_de_dados!A557</f>
        <v>Ad_19</v>
      </c>
      <c r="B557" s="8">
        <f>Base_de_dados!G557/Base_de_dados!F557</f>
        <v>1.0915534074235785E-2</v>
      </c>
      <c r="C557" s="9">
        <f>Base_de_dados!G557/Base_de_dados!H557</f>
        <v>3.2985578545041694E-2</v>
      </c>
      <c r="D557" s="9">
        <f>Base_de_dados!I557*300</f>
        <v>75000</v>
      </c>
      <c r="E557" s="10">
        <f>Base_de_dados!H557/Base_de_dados!I557</f>
        <v>260.71999884000002</v>
      </c>
      <c r="F557" s="11">
        <f>(D557-Base_de_dados!H557)/Base_de_dados!H557</f>
        <v>0.15065971668750097</v>
      </c>
    </row>
    <row r="558" spans="1:6">
      <c r="A558" s="6" t="str">
        <f>Base_de_dados!A558</f>
        <v>Ad_19</v>
      </c>
      <c r="B558" s="8">
        <f>Base_de_dados!G558/Base_de_dados!F558</f>
        <v>1.1686818532135592E-2</v>
      </c>
      <c r="C558" s="9">
        <f>Base_de_dados!G558/Base_de_dados!H558</f>
        <v>3.984492778830185E-2</v>
      </c>
      <c r="D558" s="9">
        <f>Base_de_dados!I558*300</f>
        <v>105000</v>
      </c>
      <c r="E558" s="10">
        <f>Base_de_dados!H558/Base_de_dados!I558</f>
        <v>132.65714305714286</v>
      </c>
      <c r="F558" s="11">
        <f>(D558-Base_de_dados!H558)/Base_de_dados!H558</f>
        <v>1.2614688744711862</v>
      </c>
    </row>
    <row r="559" spans="1:6">
      <c r="A559" s="6" t="str">
        <f>Base_de_dados!A559</f>
        <v>Ad_19</v>
      </c>
      <c r="B559" s="8">
        <f>Base_de_dados!G559/Base_de_dados!F559</f>
        <v>1.2346288705615093E-2</v>
      </c>
      <c r="C559" s="9">
        <f>Base_de_dados!G559/Base_de_dados!H559</f>
        <v>4.0110852048504217E-2</v>
      </c>
      <c r="D559" s="9">
        <f>Base_de_dados!I559*300</f>
        <v>90000</v>
      </c>
      <c r="E559" s="10">
        <f>Base_de_dados!H559/Base_de_dados!I559</f>
        <v>228.53333196666668</v>
      </c>
      <c r="F559" s="11">
        <f>(D559-Base_de_dados!H559)/Base_de_dados!H559</f>
        <v>0.31271879431468347</v>
      </c>
    </row>
    <row r="560" spans="1:6">
      <c r="A560" s="6" t="str">
        <f>Base_de_dados!A560</f>
        <v>Ad_19</v>
      </c>
      <c r="B560" s="8">
        <f>Base_de_dados!G560/Base_de_dados!F560</f>
        <v>1.203079884504331E-2</v>
      </c>
      <c r="C560" s="9">
        <f>Base_de_dados!G560/Base_de_dados!H560</f>
        <v>3.0525030756111345E-2</v>
      </c>
      <c r="D560" s="9">
        <f>Base_de_dados!I560*300</f>
        <v>0</v>
      </c>
      <c r="E560" s="10" t="e">
        <f>Base_de_dados!H560/Base_de_dados!I560</f>
        <v>#DIV/0!</v>
      </c>
      <c r="F560" s="11">
        <f>(D560-Base_de_dados!H560)/Base_de_dados!H560</f>
        <v>-1</v>
      </c>
    </row>
    <row r="561" spans="1:6">
      <c r="A561" s="6" t="str">
        <f>Base_de_dados!A561</f>
        <v>Ad_19</v>
      </c>
      <c r="B561" s="8">
        <f>Base_de_dados!G561/Base_de_dados!F561</f>
        <v>1.2828885986191453E-2</v>
      </c>
      <c r="C561" s="9">
        <f>Base_de_dados!G561/Base_de_dados!H561</f>
        <v>3.3985582238362573E-2</v>
      </c>
      <c r="D561" s="9">
        <f>Base_de_dados!I561*300</f>
        <v>45000</v>
      </c>
      <c r="E561" s="10">
        <f>Base_de_dados!H561/Base_de_dados!I561</f>
        <v>323.66666320000002</v>
      </c>
      <c r="F561" s="11">
        <f>(D561-Base_de_dados!H561)/Base_de_dados!H561</f>
        <v>-7.3120484408293523E-2</v>
      </c>
    </row>
    <row r="562" spans="1:6">
      <c r="A562" s="6" t="str">
        <f>Base_de_dados!A562</f>
        <v>Ad_19</v>
      </c>
      <c r="B562" s="8">
        <f>Base_de_dados!G562/Base_de_dados!F562</f>
        <v>7.5361047929626487E-3</v>
      </c>
      <c r="C562" s="9">
        <f>Base_de_dados!G562/Base_de_dados!H562</f>
        <v>3.6544850619750338E-2</v>
      </c>
      <c r="D562" s="9">
        <f>Base_de_dados!I562*300</f>
        <v>0</v>
      </c>
      <c r="E562" s="10" t="e">
        <f>Base_de_dados!H562/Base_de_dados!I562</f>
        <v>#DIV/0!</v>
      </c>
      <c r="F562" s="11">
        <f>(D562-Base_de_dados!H562)/Base_de_dados!H562</f>
        <v>-1</v>
      </c>
    </row>
    <row r="563" spans="1:6">
      <c r="A563" s="6" t="str">
        <f>Base_de_dados!A563</f>
        <v>Ad_19</v>
      </c>
      <c r="B563" s="8">
        <f>Base_de_dados!G563/Base_de_dados!F563</f>
        <v>8.5563448114734948E-3</v>
      </c>
      <c r="C563" s="9">
        <f>Base_de_dados!G563/Base_de_dados!H563</f>
        <v>3.5184561301034062E-2</v>
      </c>
      <c r="D563" s="9">
        <f>Base_de_dados!I563*300</f>
        <v>195000</v>
      </c>
      <c r="E563" s="10">
        <f>Base_de_dados!H563/Base_de_dados!I563</f>
        <v>365.10768846153843</v>
      </c>
      <c r="F563" s="11">
        <f>(D563-Base_de_dados!H563)/Base_de_dados!H563</f>
        <v>-0.17832461632315666</v>
      </c>
    </row>
    <row r="564" spans="1:6">
      <c r="A564" s="6" t="str">
        <f>Base_de_dados!A564</f>
        <v>Ad_19</v>
      </c>
      <c r="B564" s="8">
        <f>Base_de_dados!G564/Base_de_dados!F564</f>
        <v>6.7180495669911687E-3</v>
      </c>
      <c r="C564" s="9">
        <f>Base_de_dados!G564/Base_de_dados!H564</f>
        <v>3.4461153227680737E-2</v>
      </c>
      <c r="D564" s="9">
        <f>Base_de_dados!I564*300</f>
        <v>90000</v>
      </c>
      <c r="E564" s="10">
        <f>Base_de_dados!H564/Base_de_dados!I564</f>
        <v>159.5999984</v>
      </c>
      <c r="F564" s="11">
        <f>(D564-Base_de_dados!H564)/Base_de_dados!H564</f>
        <v>0.87969926696440381</v>
      </c>
    </row>
    <row r="565" spans="1:6">
      <c r="A565" s="6" t="str">
        <f>Base_de_dados!A565</f>
        <v>Ad_19</v>
      </c>
      <c r="B565" s="8">
        <f>Base_de_dados!G565/Base_de_dados!F565</f>
        <v>1.1743642465835272E-2</v>
      </c>
      <c r="C565" s="9">
        <f>Base_de_dados!G565/Base_de_dados!H565</f>
        <v>3.4620990938219832E-2</v>
      </c>
      <c r="D565" s="9">
        <f>Base_de_dados!I565*300</f>
        <v>75000</v>
      </c>
      <c r="E565" s="10">
        <f>Base_de_dados!H565/Base_de_dados!I565</f>
        <v>658.56000600000004</v>
      </c>
      <c r="F565" s="11">
        <f>(D565-Base_de_dados!H565)/Base_de_dados!H565</f>
        <v>-0.54446064554973905</v>
      </c>
    </row>
    <row r="566" spans="1:6">
      <c r="A566" s="6" t="str">
        <f>Base_de_dados!A566</f>
        <v>Ad_19</v>
      </c>
      <c r="B566" s="8">
        <f>Base_de_dados!G566/Base_de_dados!F566</f>
        <v>8.0221156454340307E-3</v>
      </c>
      <c r="C566" s="9">
        <f>Base_de_dados!G566/Base_de_dados!H566</f>
        <v>3.460638418047552E-2</v>
      </c>
      <c r="D566" s="9">
        <f>Base_de_dados!I566*300</f>
        <v>225000</v>
      </c>
      <c r="E566" s="10">
        <f>Base_de_dados!H566/Base_de_dados!I566</f>
        <v>267.77332813333334</v>
      </c>
      <c r="F566" s="11">
        <f>(D566-Base_de_dados!H566)/Base_de_dados!H566</f>
        <v>0.1203505669938118</v>
      </c>
    </row>
    <row r="567" spans="1:6">
      <c r="A567" s="6" t="str">
        <f>Base_de_dados!A567</f>
        <v>Ad_19</v>
      </c>
      <c r="B567" s="8">
        <f>Base_de_dados!G567/Base_de_dados!F567</f>
        <v>7.1611863698752762E-3</v>
      </c>
      <c r="C567" s="9">
        <f>Base_de_dados!G567/Base_de_dados!H567</f>
        <v>3.4214028759394499E-2</v>
      </c>
      <c r="D567" s="9">
        <f>Base_de_dados!I567*300</f>
        <v>195000</v>
      </c>
      <c r="E567" s="10">
        <f>Base_de_dados!H567/Base_de_dados!I567</f>
        <v>161.87691830769231</v>
      </c>
      <c r="F567" s="11">
        <f>(D567-Base_de_dados!H567)/Base_de_dados!H567</f>
        <v>0.85325989113386869</v>
      </c>
    </row>
    <row r="568" spans="1:6">
      <c r="A568" s="6" t="str">
        <f>Base_de_dados!A568</f>
        <v>Ad_19</v>
      </c>
      <c r="B568" s="8">
        <f>Base_de_dados!G568/Base_de_dados!F568</f>
        <v>9.2595710293275867E-3</v>
      </c>
      <c r="C568" s="9">
        <f>Base_de_dados!G568/Base_de_dados!H568</f>
        <v>3.455859176277052E-2</v>
      </c>
      <c r="D568" s="9">
        <f>Base_de_dados!I568*300</f>
        <v>75000</v>
      </c>
      <c r="E568" s="10">
        <f>Base_de_dados!H568/Base_de_dados!I568</f>
        <v>509.28001119999999</v>
      </c>
      <c r="F568" s="11">
        <f>(D568-Base_de_dados!H568)/Base_de_dados!H568</f>
        <v>-0.41093309495277519</v>
      </c>
    </row>
    <row r="569" spans="1:6">
      <c r="A569" s="6" t="str">
        <f>Base_de_dados!A569</f>
        <v>Ad_19</v>
      </c>
      <c r="B569" s="8">
        <f>Base_de_dados!G569/Base_de_dados!F569</f>
        <v>6.5752474111712058E-3</v>
      </c>
      <c r="C569" s="9">
        <f>Base_de_dados!G569/Base_de_dados!H569</f>
        <v>3.4221639686358947E-2</v>
      </c>
      <c r="D569" s="9">
        <f>Base_de_dados!I569*300</f>
        <v>120000</v>
      </c>
      <c r="E569" s="10">
        <f>Base_de_dados!H569/Base_de_dados!I569</f>
        <v>171.6750002</v>
      </c>
      <c r="F569" s="11">
        <f>(D569-Base_de_dados!H569)/Base_de_dados!H569</f>
        <v>0.74748798398428662</v>
      </c>
    </row>
    <row r="570" spans="1:6">
      <c r="A570" s="6" t="str">
        <f>Base_de_dados!A570</f>
        <v>Ad_19</v>
      </c>
      <c r="B570" s="8">
        <f>Base_de_dados!G570/Base_de_dados!F570</f>
        <v>7.0133253181043987E-3</v>
      </c>
      <c r="C570" s="9">
        <f>Base_de_dados!G570/Base_de_dados!H570</f>
        <v>3.4912717873645069E-2</v>
      </c>
      <c r="D570" s="9">
        <f>Base_de_dados!I570*300</f>
        <v>15000</v>
      </c>
      <c r="E570" s="10">
        <f>Base_de_dados!H570/Base_de_dados!I570</f>
        <v>401.0000038</v>
      </c>
      <c r="F570" s="11">
        <f>(D570-Base_de_dados!H570)/Base_de_dados!H570</f>
        <v>-0.25187033127903424</v>
      </c>
    </row>
    <row r="571" spans="1:6">
      <c r="A571" s="6" t="str">
        <f>Base_de_dados!A571</f>
        <v>Ad_19</v>
      </c>
      <c r="B571" s="8">
        <f>Base_de_dados!G571/Base_de_dados!F571</f>
        <v>3.6778678174306414E-3</v>
      </c>
      <c r="C571" s="9">
        <f>Base_de_dados!G571/Base_de_dados!H571</f>
        <v>3.1880977795119267E-2</v>
      </c>
      <c r="D571" s="9">
        <f>Base_de_dados!I571*300</f>
        <v>90000</v>
      </c>
      <c r="E571" s="10">
        <f>Base_de_dados!H571/Base_de_dados!I571</f>
        <v>31.366666556666665</v>
      </c>
      <c r="F571" s="11">
        <f>(D571-Base_de_dados!H571)/Base_de_dados!H571</f>
        <v>8.56429333853578</v>
      </c>
    </row>
    <row r="572" spans="1:6">
      <c r="A572" s="6" t="str">
        <f>Base_de_dados!A572</f>
        <v>Ad_19</v>
      </c>
      <c r="B572" s="8">
        <f>Base_de_dados!G572/Base_de_dados!F572</f>
        <v>6.0064552394422386E-3</v>
      </c>
      <c r="C572" s="9">
        <f>Base_de_dados!G572/Base_de_dados!H572</f>
        <v>3.4149484628497317E-2</v>
      </c>
      <c r="D572" s="9">
        <f>Base_de_dados!I572*300</f>
        <v>90000</v>
      </c>
      <c r="E572" s="10">
        <f>Base_de_dados!H572/Base_de_dados!I572</f>
        <v>258.6666659666667</v>
      </c>
      <c r="F572" s="11">
        <f>(D572-Base_de_dados!H572)/Base_de_dados!H572</f>
        <v>0.15979381757160696</v>
      </c>
    </row>
    <row r="573" spans="1:6">
      <c r="A573" s="6" t="str">
        <f>Base_de_dados!A573</f>
        <v>Ad_19</v>
      </c>
      <c r="B573" s="8">
        <f>Base_de_dados!G573/Base_de_dados!F573</f>
        <v>6.0793633248590693E-3</v>
      </c>
      <c r="C573" s="9">
        <f>Base_de_dados!G573/Base_de_dados!H573</f>
        <v>3.2875074676778152E-2</v>
      </c>
      <c r="D573" s="9">
        <f>Base_de_dados!I573*300</f>
        <v>45000</v>
      </c>
      <c r="E573" s="10">
        <f>Base_de_dados!H573/Base_de_dados!I573</f>
        <v>111.53333346666666</v>
      </c>
      <c r="F573" s="11">
        <f>(D573-Base_de_dados!H573)/Base_de_dados!H573</f>
        <v>1.6897788371909399</v>
      </c>
    </row>
    <row r="574" spans="1:6">
      <c r="A574" s="6" t="str">
        <f>Base_de_dados!A574</f>
        <v>Ad_20</v>
      </c>
      <c r="B574" s="8">
        <f>Base_de_dados!G574/Base_de_dados!F574</f>
        <v>4.588746354495952E-3</v>
      </c>
      <c r="C574" s="9">
        <f>Base_de_dados!G574/Base_de_dados!H574</f>
        <v>2.7863776917252156E-2</v>
      </c>
      <c r="D574" s="9">
        <f>Base_de_dados!I574*300</f>
        <v>135000</v>
      </c>
      <c r="E574" s="10">
        <f>Base_de_dados!H574/Base_de_dados!I574</f>
        <v>35.888889111111112</v>
      </c>
      <c r="F574" s="11">
        <f>(D574-Base_de_dados!H574)/Base_de_dados!H574</f>
        <v>7.359133075175647</v>
      </c>
    </row>
    <row r="575" spans="1:6">
      <c r="A575" s="6" t="str">
        <f>Base_de_dados!A575</f>
        <v>Ad_20</v>
      </c>
      <c r="B575" s="8">
        <f>Base_de_dados!G575/Base_de_dados!F575</f>
        <v>6.4871962208189696E-3</v>
      </c>
      <c r="C575" s="9">
        <f>Base_de_dados!G575/Base_de_dados!H575</f>
        <v>2.6436842607195834E-2</v>
      </c>
      <c r="D575" s="9">
        <f>Base_de_dados!I575*300</f>
        <v>345000</v>
      </c>
      <c r="E575" s="10">
        <f>Base_de_dados!H575/Base_de_dados!I575</f>
        <v>164.46086817391304</v>
      </c>
      <c r="F575" s="11">
        <f>(D575-Base_de_dados!H575)/Base_de_dados!H575</f>
        <v>0.82414213989651242</v>
      </c>
    </row>
    <row r="576" spans="1:6">
      <c r="A576" s="6" t="str">
        <f>Base_de_dados!A576</f>
        <v>Ad_20</v>
      </c>
      <c r="B576" s="8">
        <f>Base_de_dados!G576/Base_de_dados!F576</f>
        <v>4.7571023538142444E-3</v>
      </c>
      <c r="C576" s="9">
        <f>Base_de_dados!G576/Base_de_dados!H576</f>
        <v>2.9308324072407032E-2</v>
      </c>
      <c r="D576" s="9">
        <f>Base_de_dados!I576*300</f>
        <v>135000</v>
      </c>
      <c r="E576" s="10">
        <f>Base_de_dados!H576/Base_de_dados!I576</f>
        <v>18.955555226666664</v>
      </c>
      <c r="F576" s="11">
        <f>(D576-Base_de_dados!H576)/Base_de_dados!H576</f>
        <v>14.826494999099799</v>
      </c>
    </row>
    <row r="577" spans="1:6">
      <c r="A577" s="6" t="str">
        <f>Base_de_dados!A577</f>
        <v>Ad_20</v>
      </c>
      <c r="B577" s="8">
        <f>Base_de_dados!G577/Base_de_dados!F577</f>
        <v>5.3823393026696401E-3</v>
      </c>
      <c r="C577" s="9">
        <f>Base_de_dados!G577/Base_de_dados!H577</f>
        <v>2.8773793166324432E-2</v>
      </c>
      <c r="D577" s="9">
        <f>Base_de_dados!I577*300</f>
        <v>270000</v>
      </c>
      <c r="E577" s="10">
        <f>Base_de_dados!H577/Base_de_dados!I577</f>
        <v>75.300001433333335</v>
      </c>
      <c r="F577" s="11">
        <f>(D577-Base_de_dados!H577)/Base_de_dados!H577</f>
        <v>2.9840636691833833</v>
      </c>
    </row>
    <row r="578" spans="1:6">
      <c r="A578" s="6" t="str">
        <f>Base_de_dados!A578</f>
        <v>Ad_20</v>
      </c>
      <c r="B578" s="8">
        <f>Base_de_dados!G578/Base_de_dados!F578</f>
        <v>5.8448223057122614E-3</v>
      </c>
      <c r="C578" s="9">
        <f>Base_de_dados!G578/Base_de_dados!H578</f>
        <v>2.5799793894528102E-2</v>
      </c>
      <c r="D578" s="9">
        <f>Base_de_dados!I578*300</f>
        <v>180000</v>
      </c>
      <c r="E578" s="10">
        <f>Base_de_dados!H578/Base_de_dados!I578</f>
        <v>161.49999816666667</v>
      </c>
      <c r="F578" s="11">
        <f>(D578-Base_de_dados!H578)/Base_de_dados!H578</f>
        <v>0.85758516040602339</v>
      </c>
    </row>
    <row r="579" spans="1:6">
      <c r="A579" s="6" t="str">
        <f>Base_de_dados!A579</f>
        <v>Ad_20</v>
      </c>
      <c r="B579" s="8">
        <f>Base_de_dados!G579/Base_de_dados!F579</f>
        <v>5.8219804714140762E-3</v>
      </c>
      <c r="C579" s="9">
        <f>Base_de_dados!G579/Base_de_dados!H579</f>
        <v>2.8279019576873361E-2</v>
      </c>
      <c r="D579" s="9">
        <f>Base_de_dados!I579*300</f>
        <v>165000</v>
      </c>
      <c r="E579" s="10">
        <f>Base_de_dados!H579/Base_de_dados!I579</f>
        <v>67.509091109090917</v>
      </c>
      <c r="F579" s="11">
        <f>(D579-Base_de_dados!H579)/Base_de_dados!H579</f>
        <v>3.4438459335086709</v>
      </c>
    </row>
    <row r="580" spans="1:6">
      <c r="A580" s="6" t="str">
        <f>Base_de_dados!A580</f>
        <v>Ad_20</v>
      </c>
      <c r="B580" s="8">
        <f>Base_de_dados!G580/Base_de_dados!F580</f>
        <v>7.7403925713584124E-3</v>
      </c>
      <c r="C580" s="9">
        <f>Base_de_dados!G580/Base_de_dados!H580</f>
        <v>2.7276147679414928E-2</v>
      </c>
      <c r="D580" s="9">
        <f>Base_de_dados!I580*300</f>
        <v>165000</v>
      </c>
      <c r="E580" s="10">
        <f>Base_de_dados!H580/Base_de_dados!I580</f>
        <v>96.654544745454544</v>
      </c>
      <c r="F580" s="11">
        <f>(D580-Base_de_dados!H580)/Base_de_dados!H580</f>
        <v>2.1038374945541127</v>
      </c>
    </row>
    <row r="581" spans="1:6">
      <c r="A581" s="6" t="str">
        <f>Base_de_dados!A581</f>
        <v>Ad_20</v>
      </c>
      <c r="B581" s="8">
        <f>Base_de_dados!G581/Base_de_dados!F581</f>
        <v>7.5361415466206156E-3</v>
      </c>
      <c r="C581" s="9">
        <f>Base_de_dados!G581/Base_de_dados!H581</f>
        <v>3.0581039834605916E-2</v>
      </c>
      <c r="D581" s="9">
        <f>Base_de_dados!I581*300</f>
        <v>225000</v>
      </c>
      <c r="E581" s="10">
        <f>Base_de_dados!H581/Base_de_dados!I581</f>
        <v>257.23999933333334</v>
      </c>
      <c r="F581" s="11">
        <f>(D581-Base_de_dados!H581)/Base_de_dados!H581</f>
        <v>0.16622609538751382</v>
      </c>
    </row>
    <row r="582" spans="1:6">
      <c r="A582" s="6" t="str">
        <f>Base_de_dados!A582</f>
        <v>Ad_20</v>
      </c>
      <c r="B582" s="8">
        <f>Base_de_dados!G582/Base_de_dados!F582</f>
        <v>5.3044549962578732E-3</v>
      </c>
      <c r="C582" s="9">
        <f>Base_de_dados!G582/Base_de_dados!H582</f>
        <v>2.7104862072360809E-2</v>
      </c>
      <c r="D582" s="9">
        <f>Base_de_dados!I582*300</f>
        <v>480000</v>
      </c>
      <c r="E582" s="10">
        <f>Base_de_dados!H582/Base_de_dados!I582</f>
        <v>147.57499924999999</v>
      </c>
      <c r="F582" s="11">
        <f>(D582-Base_de_dados!H582)/Base_de_dados!H582</f>
        <v>1.0328646554270609</v>
      </c>
    </row>
    <row r="583" spans="1:6">
      <c r="A583" s="6" t="str">
        <f>Base_de_dados!A583</f>
        <v>Ad_20</v>
      </c>
      <c r="B583" s="8">
        <f>Base_de_dados!G583/Base_de_dados!F583</f>
        <v>4.142305962553554E-3</v>
      </c>
      <c r="C583" s="9">
        <f>Base_de_dados!G583/Base_de_dados!H583</f>
        <v>2.7844072813564651E-2</v>
      </c>
      <c r="D583" s="9">
        <f>Base_de_dados!I583*300</f>
        <v>150000</v>
      </c>
      <c r="E583" s="10">
        <f>Base_de_dados!H583/Base_de_dados!I583</f>
        <v>25.14000034</v>
      </c>
      <c r="F583" s="11">
        <f>(D583-Base_de_dados!H583)/Base_de_dados!H583</f>
        <v>10.933174062956278</v>
      </c>
    </row>
    <row r="584" spans="1:6">
      <c r="A584" s="6" t="str">
        <f>Base_de_dados!A584</f>
        <v>Ad_20</v>
      </c>
      <c r="B584" s="8">
        <f>Base_de_dados!G584/Base_de_dados!F584</f>
        <v>3.7132520661595425E-3</v>
      </c>
      <c r="C584" s="9">
        <f>Base_de_dados!G584/Base_de_dados!H584</f>
        <v>2.7821938702005132E-2</v>
      </c>
      <c r="D584" s="9">
        <f>Base_de_dados!I584*300</f>
        <v>150000</v>
      </c>
      <c r="E584" s="10">
        <f>Base_de_dados!H584/Base_de_dados!I584</f>
        <v>25.160000799999999</v>
      </c>
      <c r="F584" s="11">
        <f>(D584-Base_de_dados!H584)/Base_de_dados!H584</f>
        <v>10.923688015145057</v>
      </c>
    </row>
    <row r="585" spans="1:6">
      <c r="A585" s="6" t="str">
        <f>Base_de_dados!A585</f>
        <v>Ad_20</v>
      </c>
      <c r="B585" s="8">
        <f>Base_de_dados!G585/Base_de_dados!F585</f>
        <v>6.10407446970853E-3</v>
      </c>
      <c r="C585" s="9">
        <f>Base_de_dados!G585/Base_de_dados!H585</f>
        <v>2.852049952561158E-2</v>
      </c>
      <c r="D585" s="9">
        <f>Base_de_dados!I585*300</f>
        <v>180000</v>
      </c>
      <c r="E585" s="10">
        <f>Base_de_dados!H585/Base_de_dados!I585</f>
        <v>46.749999316666667</v>
      </c>
      <c r="F585" s="11">
        <f>(D585-Base_de_dados!H585)/Base_de_dados!H585</f>
        <v>5.417112393262606</v>
      </c>
    </row>
    <row r="586" spans="1:6">
      <c r="A586" s="6" t="str">
        <f>Base_de_dados!A586</f>
        <v>Ad_20</v>
      </c>
      <c r="B586" s="8">
        <f>Base_de_dados!G586/Base_de_dados!F586</f>
        <v>7.3184368989733699E-3</v>
      </c>
      <c r="C586" s="9">
        <f>Base_de_dados!G586/Base_de_dados!H586</f>
        <v>2.9947292330663348E-2</v>
      </c>
      <c r="D586" s="9">
        <f>Base_de_dados!I586*300</f>
        <v>210000</v>
      </c>
      <c r="E586" s="10">
        <f>Base_de_dados!H586/Base_de_dados!I586</f>
        <v>119.25714458571429</v>
      </c>
      <c r="F586" s="11">
        <f>(D586-Base_de_dados!H586)/Base_de_dados!H586</f>
        <v>1.5155725557757211</v>
      </c>
    </row>
    <row r="587" spans="1:6">
      <c r="A587" s="6" t="str">
        <f>Base_de_dados!A587</f>
        <v>Ad_20</v>
      </c>
      <c r="B587" s="8">
        <f>Base_de_dados!G587/Base_de_dados!F587</f>
        <v>6.7496039048234799E-3</v>
      </c>
      <c r="C587" s="9">
        <f>Base_de_dados!G587/Base_de_dados!H587</f>
        <v>3.1167979104881824E-2</v>
      </c>
      <c r="D587" s="9">
        <f>Base_de_dados!I587*300</f>
        <v>135000</v>
      </c>
      <c r="E587" s="10">
        <f>Base_de_dados!H587/Base_de_dados!I587</f>
        <v>67.733333111111108</v>
      </c>
      <c r="F587" s="11">
        <f>(D587-Base_de_dados!H587)/Base_de_dados!H587</f>
        <v>3.429133872798996</v>
      </c>
    </row>
    <row r="588" spans="1:6">
      <c r="A588" s="6" t="str">
        <f>Base_de_dados!A588</f>
        <v>Ad_20</v>
      </c>
      <c r="B588" s="8">
        <f>Base_de_dados!G588/Base_de_dados!F588</f>
        <v>6.3399170933918555E-3</v>
      </c>
      <c r="C588" s="9">
        <f>Base_de_dados!G588/Base_de_dados!H588</f>
        <v>3.2019704701642844E-2</v>
      </c>
      <c r="D588" s="9">
        <f>Base_de_dados!I588*300</f>
        <v>150000</v>
      </c>
      <c r="E588" s="10">
        <f>Base_de_dados!H588/Base_de_dados!I588</f>
        <v>40.599999660000002</v>
      </c>
      <c r="F588" s="11">
        <f>(D588-Base_de_dados!H588)/Base_de_dados!H588</f>
        <v>6.3891626234560412</v>
      </c>
    </row>
    <row r="589" spans="1:6">
      <c r="A589" s="6" t="str">
        <f>Base_de_dados!A589</f>
        <v>Ad_20</v>
      </c>
      <c r="B589" s="8">
        <f>Base_de_dados!G589/Base_de_dados!F589</f>
        <v>7.5900989391720543E-3</v>
      </c>
      <c r="C589" s="9">
        <f>Base_de_dados!G589/Base_de_dados!H589</f>
        <v>2.5839793615501209E-2</v>
      </c>
      <c r="D589" s="9">
        <f>Base_de_dados!I589*300</f>
        <v>270000</v>
      </c>
      <c r="E589" s="10">
        <f>Base_de_dados!H589/Base_de_dados!I589</f>
        <v>146.19999811111111</v>
      </c>
      <c r="F589" s="11">
        <f>(D589-Base_de_dados!H589)/Base_de_dados!H589</f>
        <v>1.0519836106427429</v>
      </c>
    </row>
    <row r="590" spans="1:6">
      <c r="A590" s="6" t="str">
        <f>Base_de_dados!A590</f>
        <v>Ad_20</v>
      </c>
      <c r="B590" s="8">
        <f>Base_de_dados!G590/Base_de_dados!F590</f>
        <v>5.8935236723200836E-3</v>
      </c>
      <c r="C590" s="9">
        <f>Base_de_dados!G590/Base_de_dados!H590</f>
        <v>3.0758715221534234E-2</v>
      </c>
      <c r="D590" s="9">
        <f>Base_de_dados!I590*300</f>
        <v>150000</v>
      </c>
      <c r="E590" s="10">
        <f>Base_de_dados!H590/Base_de_dados!I590</f>
        <v>29.259999759999999</v>
      </c>
      <c r="F590" s="11">
        <f>(D590-Base_de_dados!H590)/Base_de_dados!H590</f>
        <v>9.2529050738447456</v>
      </c>
    </row>
    <row r="591" spans="1:6">
      <c r="A591" s="6" t="str">
        <f>Base_de_dados!A591</f>
        <v>Ad_20</v>
      </c>
      <c r="B591" s="8">
        <f>Base_de_dados!G591/Base_de_dados!F591</f>
        <v>7.4045783677191557E-3</v>
      </c>
      <c r="C591" s="9">
        <f>Base_de_dados!G591/Base_de_dados!H591</f>
        <v>2.9471072131767327E-2</v>
      </c>
      <c r="D591" s="9">
        <f>Base_de_dados!I591*300</f>
        <v>240000</v>
      </c>
      <c r="E591" s="10">
        <f>Base_de_dados!H591/Base_de_dados!I591</f>
        <v>80.587499137500004</v>
      </c>
      <c r="F591" s="11">
        <f>(D591-Base_de_dados!H591)/Base_de_dados!H591</f>
        <v>2.7226617429600832</v>
      </c>
    </row>
    <row r="592" spans="1:6">
      <c r="A592" s="6" t="str">
        <f>Base_de_dados!A592</f>
        <v>Ad_20</v>
      </c>
      <c r="B592" s="8">
        <f>Base_de_dados!G592/Base_de_dados!F592</f>
        <v>8.2368445825096483E-3</v>
      </c>
      <c r="C592" s="9">
        <f>Base_de_dados!G592/Base_de_dados!H592</f>
        <v>3.4825869988366634E-2</v>
      </c>
      <c r="D592" s="9">
        <f>Base_de_dados!I592*300</f>
        <v>180000</v>
      </c>
      <c r="E592" s="10">
        <f>Base_de_dados!H592/Base_de_dados!I592</f>
        <v>50.25000095</v>
      </c>
      <c r="F592" s="11">
        <f>(D592-Base_de_dados!H592)/Base_de_dados!H592</f>
        <v>4.9701491408628522</v>
      </c>
    </row>
    <row r="593" spans="1:6">
      <c r="A593" s="6" t="str">
        <f>Base_de_dados!A593</f>
        <v>Ad_20</v>
      </c>
      <c r="B593" s="8">
        <f>Base_de_dados!G593/Base_de_dados!F593</f>
        <v>7.7860969768900222E-3</v>
      </c>
      <c r="C593" s="9">
        <f>Base_de_dados!G593/Base_de_dados!H593</f>
        <v>2.9718875387429233E-2</v>
      </c>
      <c r="D593" s="9">
        <f>Base_de_dados!I593*300</f>
        <v>210000</v>
      </c>
      <c r="E593" s="10">
        <f>Base_de_dados!H593/Base_de_dados!I593</f>
        <v>88.928571771428579</v>
      </c>
      <c r="F593" s="11">
        <f>(D593-Base_de_dados!H593)/Base_de_dados!H593</f>
        <v>2.3734939628973728</v>
      </c>
    </row>
    <row r="594" spans="1:6">
      <c r="A594" s="6" t="str">
        <f>Base_de_dados!A594</f>
        <v>Ad_20</v>
      </c>
      <c r="B594" s="8">
        <f>Base_de_dados!G594/Base_de_dados!F594</f>
        <v>7.7464762754942068E-3</v>
      </c>
      <c r="C594" s="9">
        <f>Base_de_dados!G594/Base_de_dados!H594</f>
        <v>2.6909277348865768E-2</v>
      </c>
      <c r="D594" s="9">
        <f>Base_de_dados!I594*300</f>
        <v>180000</v>
      </c>
      <c r="E594" s="10">
        <f>Base_de_dados!H594/Base_de_dados!I594</f>
        <v>130.06666639999997</v>
      </c>
      <c r="F594" s="11">
        <f>(D594-Base_de_dados!H594)/Base_de_dados!H594</f>
        <v>1.3065094870456373</v>
      </c>
    </row>
    <row r="595" spans="1:6">
      <c r="A595" s="6" t="str">
        <f>Base_de_dados!A595</f>
        <v>Ad_20</v>
      </c>
      <c r="B595" s="8">
        <f>Base_de_dados!G595/Base_de_dados!F595</f>
        <v>4.5991813457204617E-3</v>
      </c>
      <c r="C595" s="9">
        <f>Base_de_dados!G595/Base_de_dados!H595</f>
        <v>2.9411763884083064E-2</v>
      </c>
      <c r="D595" s="9">
        <f>Base_de_dados!I595*300</f>
        <v>135000</v>
      </c>
      <c r="E595" s="10">
        <f>Base_de_dados!H595/Base_de_dados!I595</f>
        <v>7.5555557666666671</v>
      </c>
      <c r="F595" s="11">
        <f>(D595-Base_de_dados!H595)/Base_de_dados!H595</f>
        <v>38.705881243512138</v>
      </c>
    </row>
    <row r="596" spans="1:6">
      <c r="A596" s="6" t="str">
        <f>Base_de_dados!A596</f>
        <v>Ad_20</v>
      </c>
      <c r="B596" s="8">
        <f>Base_de_dados!G596/Base_de_dados!F596</f>
        <v>5.6198718669214342E-3</v>
      </c>
      <c r="C596" s="9">
        <f>Base_de_dados!G596/Base_de_dados!H596</f>
        <v>3.371544076290113E-2</v>
      </c>
      <c r="D596" s="9">
        <f>Base_de_dados!I596*300</f>
        <v>150000</v>
      </c>
      <c r="E596" s="10">
        <f>Base_de_dados!H596/Base_de_dados!I596</f>
        <v>29.660000799999999</v>
      </c>
      <c r="F596" s="11">
        <f>(D596-Base_de_dados!H596)/Base_de_dados!H596</f>
        <v>9.1146322288703399</v>
      </c>
    </row>
    <row r="597" spans="1:6">
      <c r="A597" s="6" t="str">
        <f>Base_de_dados!A597</f>
        <v>Ad_20</v>
      </c>
      <c r="B597" s="8">
        <f>Base_de_dados!G597/Base_de_dados!F597</f>
        <v>5.9984127277089754E-3</v>
      </c>
      <c r="C597" s="9">
        <f>Base_de_dados!G597/Base_de_dados!H597</f>
        <v>2.8979046140278103E-2</v>
      </c>
      <c r="D597" s="9">
        <f>Base_de_dados!I597*300</f>
        <v>150000</v>
      </c>
      <c r="E597" s="10">
        <f>Base_de_dados!H597/Base_de_dados!I597</f>
        <v>44.85999966</v>
      </c>
      <c r="F597" s="11">
        <f>(D597-Base_de_dados!H597)/Base_de_dados!H597</f>
        <v>5.6874721862180238</v>
      </c>
    </row>
    <row r="598" spans="1:6">
      <c r="A598" s="6" t="str">
        <f>Base_de_dados!A598</f>
        <v>Ad_20</v>
      </c>
      <c r="B598" s="8">
        <f>Base_de_dados!G598/Base_de_dados!F598</f>
        <v>7.1581581793887464E-3</v>
      </c>
      <c r="C598" s="9">
        <f>Base_de_dados!G598/Base_de_dados!H598</f>
        <v>3.0584503615796756E-2</v>
      </c>
      <c r="D598" s="9">
        <f>Base_de_dados!I598*300</f>
        <v>165000</v>
      </c>
      <c r="E598" s="10">
        <f>Base_de_dados!H598/Base_de_dados!I598</f>
        <v>80.254546072727265</v>
      </c>
      <c r="F598" s="11">
        <f>(D598-Base_de_dados!H598)/Base_de_dados!H598</f>
        <v>2.73810599748627</v>
      </c>
    </row>
    <row r="599" spans="1:6">
      <c r="A599" s="6" t="str">
        <f>Base_de_dados!A599</f>
        <v>Ad_20</v>
      </c>
      <c r="B599" s="8">
        <f>Base_de_dados!G599/Base_de_dados!F599</f>
        <v>7.815908099461975E-3</v>
      </c>
      <c r="C599" s="9">
        <f>Base_de_dados!G599/Base_de_dados!H599</f>
        <v>3.0864197544156272E-2</v>
      </c>
      <c r="D599" s="9">
        <f>Base_de_dados!I599*300</f>
        <v>225000</v>
      </c>
      <c r="E599" s="10">
        <f>Base_de_dados!H599/Base_de_dados!I599</f>
        <v>92.879999960000006</v>
      </c>
      <c r="F599" s="11">
        <f>(D599-Base_de_dados!H599)/Base_de_dados!H599</f>
        <v>2.2299741615977493</v>
      </c>
    </row>
    <row r="600" spans="1:6">
      <c r="A600" s="6" t="str">
        <f>Base_de_dados!A600</f>
        <v>Ad_20</v>
      </c>
      <c r="B600" s="8">
        <f>Base_de_dados!G600/Base_de_dados!F600</f>
        <v>7.7343109502374437E-3</v>
      </c>
      <c r="C600" s="9">
        <f>Base_de_dados!G600/Base_de_dados!H600</f>
        <v>3.07314075362402E-2</v>
      </c>
      <c r="D600" s="9">
        <f>Base_de_dados!I600*300</f>
        <v>135000</v>
      </c>
      <c r="E600" s="10">
        <f>Base_de_dados!H600/Base_de_dados!I600</f>
        <v>36.155555511111118</v>
      </c>
      <c r="F600" s="11">
        <f>(D600-Base_de_dados!H600)/Base_de_dados!H600</f>
        <v>7.2974800347848543</v>
      </c>
    </row>
    <row r="601" spans="1:6">
      <c r="A601" s="6" t="str">
        <f>Base_de_dados!A601</f>
        <v>Ad_20</v>
      </c>
      <c r="B601" s="8">
        <f>Base_de_dados!G601/Base_de_dados!F601</f>
        <v>6.3969294738525509E-3</v>
      </c>
      <c r="C601" s="9">
        <f>Base_de_dados!G601/Base_de_dados!H601</f>
        <v>3.454231491971449E-2</v>
      </c>
      <c r="D601" s="9">
        <f>Base_de_dados!I601*300</f>
        <v>135000</v>
      </c>
      <c r="E601" s="10">
        <f>Base_de_dados!H601/Base_de_dados!I601</f>
        <v>12.866666448888887</v>
      </c>
      <c r="F601" s="11">
        <f>(D601-Base_de_dados!H601)/Base_de_dados!H601</f>
        <v>22.316062570807279</v>
      </c>
    </row>
    <row r="602" spans="1:6">
      <c r="A602" s="6" t="str">
        <f>Base_de_dados!A602</f>
        <v>Ad_20</v>
      </c>
      <c r="B602" s="8">
        <f>Base_de_dados!G602/Base_de_dados!F602</f>
        <v>8.5624380115164791E-3</v>
      </c>
      <c r="C602" s="9">
        <f>Base_de_dados!G602/Base_de_dados!H602</f>
        <v>2.8517110157729623E-2</v>
      </c>
      <c r="D602" s="9">
        <f>Base_de_dados!I602*300</f>
        <v>150000</v>
      </c>
      <c r="E602" s="10">
        <f>Base_de_dados!H602/Base_de_dados!I602</f>
        <v>84.160000319999995</v>
      </c>
      <c r="F602" s="11">
        <f>(D602-Base_de_dados!H602)/Base_de_dados!H602</f>
        <v>2.5646387697162027</v>
      </c>
    </row>
    <row r="603" spans="1:6">
      <c r="A603" s="6" t="str">
        <f>Base_de_dados!A603</f>
        <v>Ad_20</v>
      </c>
      <c r="B603" s="8">
        <f>Base_de_dados!G603/Base_de_dados!F603</f>
        <v>8.963786303334529E-3</v>
      </c>
      <c r="C603" s="9">
        <f>Base_de_dados!G603/Base_de_dados!H603</f>
        <v>2.9555194395283448E-2</v>
      </c>
      <c r="D603" s="9">
        <f>Base_de_dados!I603*300</f>
        <v>135000</v>
      </c>
      <c r="E603" s="10">
        <f>Base_de_dados!H603/Base_de_dados!I603</f>
        <v>150.37777742222224</v>
      </c>
      <c r="F603" s="11">
        <f>(D603-Base_de_dados!H603)/Base_de_dados!H603</f>
        <v>0.99497562168163278</v>
      </c>
    </row>
    <row r="604" spans="1:6">
      <c r="A604" s="6" t="str">
        <f>Base_de_dados!A604</f>
        <v>Ad_20</v>
      </c>
      <c r="B604" s="8">
        <f>Base_de_dados!G604/Base_de_dados!F604</f>
        <v>8.5821358075313017E-3</v>
      </c>
      <c r="C604" s="9">
        <f>Base_de_dados!G604/Base_de_dados!H604</f>
        <v>2.6416201247125942E-2</v>
      </c>
      <c r="D604" s="9">
        <f>Base_de_dados!I604*300</f>
        <v>135000</v>
      </c>
      <c r="E604" s="10">
        <f>Base_de_dados!H604/Base_de_dados!I604</f>
        <v>75.711113088888894</v>
      </c>
      <c r="F604" s="11">
        <f>(D604-Base_de_dados!H604)/Base_de_dados!H604</f>
        <v>2.9624301870688914</v>
      </c>
    </row>
    <row r="605" spans="1:6">
      <c r="A605" s="6" t="str">
        <f>Base_de_dados!A605</f>
        <v>Ad_20</v>
      </c>
      <c r="B605" s="8">
        <f>Base_de_dados!G605/Base_de_dados!F605</f>
        <v>6.9622283974161052E-3</v>
      </c>
      <c r="C605" s="9">
        <f>Base_de_dados!G605/Base_de_dados!H605</f>
        <v>2.7564717380066078E-2</v>
      </c>
      <c r="D605" s="9">
        <f>Base_de_dados!I605*300</f>
        <v>195000</v>
      </c>
      <c r="E605" s="10">
        <f>Base_de_dados!H605/Base_de_dados!I605</f>
        <v>64.184614876923078</v>
      </c>
      <c r="F605" s="11">
        <f>(D605-Base_de_dados!H605)/Base_de_dados!H605</f>
        <v>3.6740172948807701</v>
      </c>
    </row>
    <row r="606" spans="1:6">
      <c r="A606" s="6" t="str">
        <f>Base_de_dados!A606</f>
        <v>Ad_20</v>
      </c>
      <c r="B606" s="8">
        <f>Base_de_dados!G606/Base_de_dados!F606</f>
        <v>6.5325320094068457E-3</v>
      </c>
      <c r="C606" s="9">
        <f>Base_de_dados!G606/Base_de_dados!H606</f>
        <v>2.8104241458344708E-2</v>
      </c>
      <c r="D606" s="9">
        <f>Base_de_dados!I606*300</f>
        <v>135000</v>
      </c>
      <c r="E606" s="10">
        <f>Base_de_dados!H606/Base_de_dados!I606</f>
        <v>43.488888466666658</v>
      </c>
      <c r="F606" s="11">
        <f>(D606-Base_de_dados!H606)/Base_de_dados!H606</f>
        <v>5.8983138125027921</v>
      </c>
    </row>
    <row r="607" spans="1:6">
      <c r="A607" s="6" t="str">
        <f>Base_de_dados!A607</f>
        <v>Ad_20</v>
      </c>
      <c r="B607" s="8">
        <f>Base_de_dados!G607/Base_de_dados!F607</f>
        <v>7.0268971488931502E-3</v>
      </c>
      <c r="C607" s="9">
        <f>Base_de_dados!G607/Base_de_dados!H607</f>
        <v>2.701760502004532E-2</v>
      </c>
      <c r="D607" s="9">
        <f>Base_de_dados!I607*300</f>
        <v>135000</v>
      </c>
      <c r="E607" s="10">
        <f>Base_de_dados!H607/Base_de_dados!I607</f>
        <v>127.48888888888889</v>
      </c>
      <c r="F607" s="11">
        <f>(D607-Base_de_dados!H607)/Base_de_dados!H607</f>
        <v>1.3531462436813666</v>
      </c>
    </row>
    <row r="608" spans="1:6">
      <c r="A608" s="6" t="str">
        <f>Base_de_dados!A608</f>
        <v>Ad_20</v>
      </c>
      <c r="B608" s="8">
        <f>Base_de_dados!G608/Base_de_dados!F608</f>
        <v>6.5959579969394758E-3</v>
      </c>
      <c r="C608" s="9">
        <f>Base_de_dados!G608/Base_de_dados!H608</f>
        <v>2.878526252589763E-2</v>
      </c>
      <c r="D608" s="9">
        <f>Base_de_dados!I608*300</f>
        <v>165000</v>
      </c>
      <c r="E608" s="10">
        <f>Base_de_dados!H608/Base_de_dados!I608</f>
        <v>31.581817545454548</v>
      </c>
      <c r="F608" s="11">
        <f>(D608-Base_de_dados!H608)/Base_de_dados!H608</f>
        <v>8.4991366335462182</v>
      </c>
    </row>
    <row r="609" spans="1:6">
      <c r="A609" s="6" t="str">
        <f>Base_de_dados!A609</f>
        <v>Ad_20</v>
      </c>
      <c r="B609" s="8">
        <f>Base_de_dados!G609/Base_de_dados!F609</f>
        <v>7.9948832747041895E-3</v>
      </c>
      <c r="C609" s="9">
        <f>Base_de_dados!G609/Base_de_dados!H609</f>
        <v>2.9414697670901362E-2</v>
      </c>
      <c r="D609" s="9">
        <f>Base_de_dados!I609*300</f>
        <v>105000</v>
      </c>
      <c r="E609" s="10">
        <f>Base_de_dados!H609/Base_de_dados!I609</f>
        <v>286.54285428571427</v>
      </c>
      <c r="F609" s="11">
        <f>(D609-Base_de_dados!H609)/Base_de_dados!H609</f>
        <v>4.6963815404963798E-2</v>
      </c>
    </row>
    <row r="610" spans="1:6">
      <c r="A610" s="6" t="str">
        <f>Base_de_dados!A610</f>
        <v>Ad_20</v>
      </c>
      <c r="B610" s="8">
        <f>Base_de_dados!G610/Base_de_dados!F610</f>
        <v>5.3202809108320922E-3</v>
      </c>
      <c r="C610" s="9">
        <f>Base_de_dados!G610/Base_de_dados!H610</f>
        <v>4.043126772909237E-2</v>
      </c>
      <c r="D610" s="9">
        <f>Base_de_dados!I610*300</f>
        <v>150000</v>
      </c>
      <c r="E610" s="10">
        <f>Base_de_dados!H610/Base_de_dados!I610</f>
        <v>7.4199998379999998</v>
      </c>
      <c r="F610" s="11">
        <f>(D610-Base_de_dados!H610)/Base_de_dados!H610</f>
        <v>39.431267729092369</v>
      </c>
    </row>
    <row r="611" spans="1:6">
      <c r="A611" s="6" t="str">
        <f>Base_de_dados!A611</f>
        <v>Ad_20</v>
      </c>
      <c r="B611" s="8">
        <f>Base_de_dados!G611/Base_de_dados!F611</f>
        <v>7.0027310651153947E-3</v>
      </c>
      <c r="C611" s="9">
        <f>Base_de_dados!G611/Base_de_dados!H611</f>
        <v>3.0159414305552905E-2</v>
      </c>
      <c r="D611" s="9">
        <f>Base_de_dados!I611*300</f>
        <v>150000</v>
      </c>
      <c r="E611" s="10">
        <f>Base_de_dados!H611/Base_de_dados!I611</f>
        <v>46.419999599999997</v>
      </c>
      <c r="F611" s="11">
        <f>(D611-Base_de_dados!H611)/Base_de_dados!H611</f>
        <v>5.4627316369041941</v>
      </c>
    </row>
    <row r="612" spans="1:6">
      <c r="A612" s="6" t="str">
        <f>Base_de_dados!A612</f>
        <v>Ad_20</v>
      </c>
      <c r="B612" s="8">
        <f>Base_de_dados!G612/Base_de_dados!F612</f>
        <v>7.5096860367960035E-3</v>
      </c>
      <c r="C612" s="9">
        <f>Base_de_dados!G612/Base_de_dados!H612</f>
        <v>2.895047514284322E-2</v>
      </c>
      <c r="D612" s="9">
        <f>Base_de_dados!I612*300</f>
        <v>285000</v>
      </c>
      <c r="E612" s="10">
        <f>Base_de_dados!H612/Base_de_dados!I612</f>
        <v>187.25263073684209</v>
      </c>
      <c r="F612" s="11">
        <f>(D612-Base_de_dados!H612)/Base_de_dados!H612</f>
        <v>0.60211367295345974</v>
      </c>
    </row>
    <row r="613" spans="1:6">
      <c r="A613" s="6" t="str">
        <f>Base_de_dados!A613</f>
        <v>Ad_20</v>
      </c>
      <c r="B613" s="8">
        <f>Base_de_dados!G613/Base_de_dados!F613</f>
        <v>7.8403629176360765E-3</v>
      </c>
      <c r="C613" s="9">
        <f>Base_de_dados!G613/Base_de_dados!H613</f>
        <v>3.22000898124905E-2</v>
      </c>
      <c r="D613" s="9">
        <f>Base_de_dados!I613*300</f>
        <v>165000</v>
      </c>
      <c r="E613" s="10">
        <f>Base_de_dados!H613/Base_de_dados!I613</f>
        <v>121.40000018181819</v>
      </c>
      <c r="F613" s="11">
        <f>(D613-Base_de_dados!H613)/Base_de_dados!H613</f>
        <v>1.4711696832841548</v>
      </c>
    </row>
    <row r="614" spans="1:6">
      <c r="A614" s="6" t="str">
        <f>Base_de_dados!A614</f>
        <v>Ad_20</v>
      </c>
      <c r="B614" s="8">
        <f>Base_de_dados!G614/Base_de_dados!F614</f>
        <v>1.1311910083889124E-2</v>
      </c>
      <c r="C614" s="9">
        <f>Base_de_dados!G614/Base_de_dados!H614</f>
        <v>3.8249694060969543E-2</v>
      </c>
      <c r="D614" s="9">
        <f>Base_de_dados!I614*300</f>
        <v>165000</v>
      </c>
      <c r="E614" s="10">
        <f>Base_de_dados!H614/Base_de_dados!I614</f>
        <v>59.418181727272732</v>
      </c>
      <c r="F614" s="11">
        <f>(D614-Base_de_dados!H614)/Base_de_dados!H614</f>
        <v>4.0489596160479797</v>
      </c>
    </row>
    <row r="615" spans="1:6">
      <c r="A615" s="6" t="str">
        <f>Base_de_dados!A615</f>
        <v>Ad_20</v>
      </c>
      <c r="B615" s="8">
        <f>Base_de_dados!G615/Base_de_dados!F615</f>
        <v>8.0469416441317759E-3</v>
      </c>
      <c r="C615" s="9">
        <f>Base_de_dados!G615/Base_de_dados!H615</f>
        <v>2.7699843185814196E-2</v>
      </c>
      <c r="D615" s="9">
        <f>Base_de_dados!I615*300</f>
        <v>405000</v>
      </c>
      <c r="E615" s="10">
        <f>Base_de_dados!H615/Base_de_dados!I615</f>
        <v>311.54073948148147</v>
      </c>
      <c r="F615" s="11">
        <f>(D615-Base_de_dados!H615)/Base_de_dados!H615</f>
        <v>-3.7044078089721127E-2</v>
      </c>
    </row>
    <row r="616" spans="1:6">
      <c r="A616" s="6" t="str">
        <f>Base_de_dados!A616</f>
        <v>Ad_20</v>
      </c>
      <c r="B616" s="8">
        <f>Base_de_dados!G616/Base_de_dados!F616</f>
        <v>7.2426020997974853E-3</v>
      </c>
      <c r="C616" s="9">
        <f>Base_de_dados!G616/Base_de_dados!H616</f>
        <v>2.9697315592264972E-2</v>
      </c>
      <c r="D616" s="9">
        <f>Base_de_dados!I616*300</f>
        <v>135000</v>
      </c>
      <c r="E616" s="10">
        <f>Base_de_dados!H616/Base_de_dados!I616</f>
        <v>194.55555704444447</v>
      </c>
      <c r="F616" s="11">
        <f>(D616-Base_de_dados!H616)/Base_de_dados!H616</f>
        <v>0.54197600190606587</v>
      </c>
    </row>
    <row r="617" spans="1:6">
      <c r="A617" s="6" t="str">
        <f>Base_de_dados!A617</f>
        <v>Ad_20</v>
      </c>
      <c r="B617" s="8">
        <f>Base_de_dados!G617/Base_de_dados!F617</f>
        <v>7.5647085166514368E-3</v>
      </c>
      <c r="C617" s="9">
        <f>Base_de_dados!G617/Base_de_dados!H617</f>
        <v>2.6896759385818272E-2</v>
      </c>
      <c r="D617" s="9">
        <f>Base_de_dados!I617*300</f>
        <v>195000</v>
      </c>
      <c r="E617" s="10">
        <f>Base_de_dados!H617/Base_de_dados!I617</f>
        <v>357.49230892307696</v>
      </c>
      <c r="F617" s="11">
        <f>(D617-Base_de_dados!H617)/Base_de_dados!H617</f>
        <v>-0.16082110716246986</v>
      </c>
    </row>
    <row r="618" spans="1:6">
      <c r="A618" s="6" t="str">
        <f>Base_de_dados!A618</f>
        <v>Ad_20</v>
      </c>
      <c r="B618" s="8">
        <f>Base_de_dados!G618/Base_de_dados!F618</f>
        <v>7.6231409518761999E-3</v>
      </c>
      <c r="C618" s="9">
        <f>Base_de_dados!G618/Base_de_dados!H618</f>
        <v>2.7973890811451518E-2</v>
      </c>
      <c r="D618" s="9">
        <f>Base_de_dados!I618*300</f>
        <v>180000</v>
      </c>
      <c r="E618" s="10">
        <f>Base_de_dados!H618/Base_de_dados!I618</f>
        <v>250.23333533333334</v>
      </c>
      <c r="F618" s="11">
        <f>(D618-Base_de_dados!H618)/Base_de_dados!H618</f>
        <v>0.19888103477649366</v>
      </c>
    </row>
    <row r="619" spans="1:6">
      <c r="A619" s="6" t="str">
        <f>Base_de_dados!A619</f>
        <v>Ad_20</v>
      </c>
      <c r="B619" s="8">
        <f>Base_de_dados!G619/Base_de_dados!F619</f>
        <v>7.2684022730276198E-3</v>
      </c>
      <c r="C619" s="9">
        <f>Base_de_dados!G619/Base_de_dados!H619</f>
        <v>2.8503316533919767E-2</v>
      </c>
      <c r="D619" s="9">
        <f>Base_de_dados!I619*300</f>
        <v>165000</v>
      </c>
      <c r="E619" s="10">
        <f>Base_de_dados!H619/Base_de_dados!I619</f>
        <v>175.41818314545455</v>
      </c>
      <c r="F619" s="11">
        <f>(D619-Base_de_dados!H619)/Base_de_dados!H619</f>
        <v>0.71019899203518588</v>
      </c>
    </row>
    <row r="620" spans="1:6">
      <c r="A620" s="6" t="str">
        <f>Base_de_dados!A620</f>
        <v>Ad_20</v>
      </c>
      <c r="B620" s="8">
        <f>Base_de_dados!G620/Base_de_dados!F620</f>
        <v>5.6820026624241045E-3</v>
      </c>
      <c r="C620" s="9">
        <f>Base_de_dados!G620/Base_de_dados!H620</f>
        <v>2.9316301558881874E-2</v>
      </c>
      <c r="D620" s="9">
        <f>Base_de_dados!I620*300</f>
        <v>285000</v>
      </c>
      <c r="E620" s="10">
        <f>Base_de_dados!H620/Base_de_dados!I620</f>
        <v>100.53684347368421</v>
      </c>
      <c r="F620" s="11">
        <f>(D620-Base_de_dados!H620)/Base_de_dados!H620</f>
        <v>1.9839806943861908</v>
      </c>
    </row>
    <row r="621" spans="1:6">
      <c r="A621" s="6" t="str">
        <f>Base_de_dados!A621</f>
        <v>Ad_20</v>
      </c>
      <c r="B621" s="8">
        <f>Base_de_dados!G621/Base_de_dados!F621</f>
        <v>6.5717482072882218E-3</v>
      </c>
      <c r="C621" s="9">
        <f>Base_de_dados!G621/Base_de_dados!H621</f>
        <v>2.9733093501314783E-2</v>
      </c>
      <c r="D621" s="9">
        <f>Base_de_dados!I621*300</f>
        <v>240000</v>
      </c>
      <c r="E621" s="10">
        <f>Base_de_dados!H621/Base_de_dados!I621</f>
        <v>90.387500375000002</v>
      </c>
      <c r="F621" s="11">
        <f>(D621-Base_de_dados!H621)/Base_de_dados!H621</f>
        <v>2.3190429954956033</v>
      </c>
    </row>
    <row r="622" spans="1:6">
      <c r="A622" s="6" t="str">
        <f>Base_de_dados!A622</f>
        <v>Ad_20</v>
      </c>
      <c r="B622" s="8">
        <f>Base_de_dados!G622/Base_de_dados!F622</f>
        <v>4.2094628725374639E-3</v>
      </c>
      <c r="C622" s="9">
        <f>Base_de_dados!G622/Base_de_dados!H622</f>
        <v>2.7144408490629435E-2</v>
      </c>
      <c r="D622" s="9">
        <f>Base_de_dados!I622*300</f>
        <v>225000</v>
      </c>
      <c r="E622" s="10">
        <f>Base_de_dados!H622/Base_de_dados!I622</f>
        <v>12.279999891999999</v>
      </c>
      <c r="F622" s="11">
        <f>(D622-Base_de_dados!H622)/Base_de_dados!H622</f>
        <v>23.429967641566492</v>
      </c>
    </row>
    <row r="623" spans="1:6">
      <c r="A623" s="6" t="str">
        <f>Base_de_dados!A623</f>
        <v>Ad_20</v>
      </c>
      <c r="B623" s="8">
        <f>Base_de_dados!G623/Base_de_dados!F623</f>
        <v>7.0650658925533244E-3</v>
      </c>
      <c r="C623" s="9">
        <f>Base_de_dados!G623/Base_de_dados!H623</f>
        <v>2.8908554140206467E-2</v>
      </c>
      <c r="D623" s="9">
        <f>Base_de_dados!I623*300</f>
        <v>345000</v>
      </c>
      <c r="E623" s="10">
        <f>Base_de_dados!H623/Base_de_dados!I623</f>
        <v>221.08695982608697</v>
      </c>
      <c r="F623" s="11">
        <f>(D623-Base_de_dados!H623)/Base_de_dados!H623</f>
        <v>0.35693213311173211</v>
      </c>
    </row>
    <row r="624" spans="1:6">
      <c r="A624" s="6" t="str">
        <f>Base_de_dados!A624</f>
        <v>Ad_20</v>
      </c>
      <c r="B624" s="8">
        <f>Base_de_dados!G624/Base_de_dados!F624</f>
        <v>6.070171178827243E-3</v>
      </c>
      <c r="C624" s="9">
        <f>Base_de_dados!G624/Base_de_dados!H624</f>
        <v>2.6857653686134943E-2</v>
      </c>
      <c r="D624" s="9">
        <f>Base_de_dados!I624*300</f>
        <v>135000</v>
      </c>
      <c r="E624" s="10">
        <f>Base_de_dados!H624/Base_de_dados!I624</f>
        <v>24.822222911111115</v>
      </c>
      <c r="F624" s="11">
        <f>(D624-Base_de_dados!H624)/Base_de_dados!H624</f>
        <v>11.085944158760725</v>
      </c>
    </row>
    <row r="625" spans="1:6">
      <c r="A625" s="6" t="str">
        <f>Base_de_dados!A625</f>
        <v>Ad_20</v>
      </c>
      <c r="B625" s="8">
        <f>Base_de_dados!G625/Base_de_dados!F625</f>
        <v>6.8654598713870519E-3</v>
      </c>
      <c r="C625" s="9">
        <f>Base_de_dados!G625/Base_de_dados!H625</f>
        <v>2.6292725479517713E-2</v>
      </c>
      <c r="D625" s="9">
        <f>Base_de_dados!I625*300</f>
        <v>180000</v>
      </c>
      <c r="E625" s="10">
        <f>Base_de_dados!H625/Base_de_dados!I625</f>
        <v>57.050000433333338</v>
      </c>
      <c r="F625" s="11">
        <f>(D625-Base_de_dados!H625)/Base_de_dados!H625</f>
        <v>4.2585450959035427</v>
      </c>
    </row>
    <row r="626" spans="1:6">
      <c r="A626" s="6" t="str">
        <f>Base_de_dados!A626</f>
        <v>Ad_20</v>
      </c>
      <c r="B626" s="8">
        <f>Base_de_dados!G626/Base_de_dados!F626</f>
        <v>7.8377276859892785E-3</v>
      </c>
      <c r="C626" s="9">
        <f>Base_de_dados!G626/Base_de_dados!H626</f>
        <v>2.9691211272128534E-2</v>
      </c>
      <c r="D626" s="9">
        <f>Base_de_dados!I626*300</f>
        <v>165000</v>
      </c>
      <c r="E626" s="10">
        <f>Base_de_dados!H626/Base_de_dados!I626</f>
        <v>45.927272927272732</v>
      </c>
      <c r="F626" s="11">
        <f>(D626-Base_de_dados!H626)/Base_de_dados!H626</f>
        <v>5.532066479868277</v>
      </c>
    </row>
    <row r="627" spans="1:6">
      <c r="A627" s="6" t="str">
        <f>Base_de_dados!A627</f>
        <v>Ad_20</v>
      </c>
      <c r="B627" s="8">
        <f>Base_de_dados!G627/Base_de_dados!F627</f>
        <v>3.2231032037645844E-3</v>
      </c>
      <c r="C627" s="9">
        <f>Base_de_dados!G627/Base_de_dados!H627</f>
        <v>3.875969106423896E-2</v>
      </c>
      <c r="D627" s="9">
        <f>Base_de_dados!I627*300</f>
        <v>135000</v>
      </c>
      <c r="E627" s="10">
        <f>Base_de_dados!H627/Base_de_dados!I627</f>
        <v>2.8666665822222224</v>
      </c>
      <c r="F627" s="11">
        <f>(D627-Base_de_dados!H627)/Base_de_dados!H627</f>
        <v>103.65116587344519</v>
      </c>
    </row>
    <row r="628" spans="1:6">
      <c r="A628" s="6" t="str">
        <f>Base_de_dados!A628</f>
        <v>Ad_20</v>
      </c>
      <c r="B628" s="8">
        <f>Base_de_dados!G628/Base_de_dados!F628</f>
        <v>8.2344975780120622E-3</v>
      </c>
      <c r="C628" s="9">
        <f>Base_de_dados!G628/Base_de_dados!H628</f>
        <v>2.7634002691808025E-2</v>
      </c>
      <c r="D628" s="9">
        <f>Base_de_dados!I628*300</f>
        <v>225000</v>
      </c>
      <c r="E628" s="10">
        <f>Base_de_dados!H628/Base_de_dados!I628</f>
        <v>151.98666826666667</v>
      </c>
      <c r="F628" s="11">
        <f>(D628-Base_de_dados!H628)/Base_de_dados!H628</f>
        <v>0.97385733512914463</v>
      </c>
    </row>
    <row r="629" spans="1:6">
      <c r="A629" s="6" t="str">
        <f>Base_de_dados!A629</f>
        <v>Ad_20</v>
      </c>
      <c r="B629" s="8">
        <f>Base_de_dados!G629/Base_de_dados!F629</f>
        <v>6.9360753951395451E-3</v>
      </c>
      <c r="C629" s="9">
        <f>Base_de_dados!G629/Base_de_dados!H629</f>
        <v>2.6424443002179995E-2</v>
      </c>
      <c r="D629" s="9">
        <f>Base_de_dados!I629*300</f>
        <v>255000</v>
      </c>
      <c r="E629" s="10">
        <f>Base_de_dados!H629/Base_de_dados!I629</f>
        <v>142.47058611764706</v>
      </c>
      <c r="F629" s="11">
        <f>(D629-Base_de_dados!H629)/Base_de_dados!H629</f>
        <v>1.1056978017362182</v>
      </c>
    </row>
    <row r="630" spans="1:6">
      <c r="A630" s="6" t="str">
        <f>Base_de_dados!A630</f>
        <v>Ad_20</v>
      </c>
      <c r="B630" s="8">
        <f>Base_de_dados!G630/Base_de_dados!F630</f>
        <v>6.7508871684741215E-3</v>
      </c>
      <c r="C630" s="9">
        <f>Base_de_dados!G630/Base_de_dados!H630</f>
        <v>2.6849037441090816E-2</v>
      </c>
      <c r="D630" s="9">
        <f>Base_de_dados!I630*300</f>
        <v>195000</v>
      </c>
      <c r="E630" s="10">
        <f>Base_de_dados!H630/Base_de_dados!I630</f>
        <v>151.84615410769231</v>
      </c>
      <c r="F630" s="11">
        <f>(D630-Base_de_dados!H630)/Base_de_dados!H630</f>
        <v>0.9756838871746073</v>
      </c>
    </row>
    <row r="631" spans="1:6">
      <c r="A631" s="6" t="str">
        <f>Base_de_dados!A631</f>
        <v>Ad_20</v>
      </c>
      <c r="B631" s="8">
        <f>Base_de_dados!G631/Base_de_dados!F631</f>
        <v>7.1249430004559963E-3</v>
      </c>
      <c r="C631" s="9">
        <f>Base_de_dados!G631/Base_de_dados!H631</f>
        <v>2.8409090676652898E-2</v>
      </c>
      <c r="D631" s="9">
        <f>Base_de_dados!I631*300</f>
        <v>150000</v>
      </c>
      <c r="E631" s="10">
        <f>Base_de_dados!H631/Base_de_dados!I631</f>
        <v>17.600000143999999</v>
      </c>
      <c r="F631" s="11">
        <f>(D631-Base_de_dados!H631)/Base_de_dados!H631</f>
        <v>16.045454405991737</v>
      </c>
    </row>
    <row r="632" spans="1:6">
      <c r="A632" s="6" t="str">
        <f>Base_de_dados!A632</f>
        <v>Ad_20</v>
      </c>
      <c r="B632" s="8">
        <f>Base_de_dados!G632/Base_de_dados!F632</f>
        <v>5.5624571227263454E-3</v>
      </c>
      <c r="C632" s="9">
        <f>Base_de_dados!G632/Base_de_dados!H632</f>
        <v>3.0211480520744911E-2</v>
      </c>
      <c r="D632" s="9">
        <f>Base_de_dados!I632*300</f>
        <v>180000</v>
      </c>
      <c r="E632" s="10">
        <f>Base_de_dados!H632/Base_de_dados!I632</f>
        <v>16.549999913333334</v>
      </c>
      <c r="F632" s="11">
        <f>(D632-Base_de_dados!H632)/Base_de_dados!H632</f>
        <v>17.126888312446944</v>
      </c>
    </row>
    <row r="633" spans="1:6">
      <c r="A633" s="6" t="str">
        <f>Base_de_dados!A633</f>
        <v>Ad_20</v>
      </c>
      <c r="B633" s="8">
        <f>Base_de_dados!G633/Base_de_dados!F633</f>
        <v>7.2096163173279854E-3</v>
      </c>
      <c r="C633" s="9">
        <f>Base_de_dados!G633/Base_de_dados!H633</f>
        <v>3.0904664147815043E-2</v>
      </c>
      <c r="D633" s="9">
        <f>Base_de_dados!I633*300</f>
        <v>195000</v>
      </c>
      <c r="E633" s="10">
        <f>Base_de_dados!H633/Base_de_dados!I633</f>
        <v>82.138460600000002</v>
      </c>
      <c r="F633" s="11">
        <f>(D633-Base_de_dados!H633)/Base_de_dados!H633</f>
        <v>2.6523693992872324</v>
      </c>
    </row>
    <row r="634" spans="1:6">
      <c r="A634" s="6" t="str">
        <f>Base_de_dados!A634</f>
        <v>Ad_20</v>
      </c>
      <c r="B634" s="8">
        <f>Base_de_dados!G634/Base_de_dados!F634</f>
        <v>4.7712200009542441E-3</v>
      </c>
      <c r="C634" s="9">
        <f>Base_de_dados!G634/Base_de_dados!H634</f>
        <v>2.6525199072673419E-2</v>
      </c>
      <c r="D634" s="9">
        <f>Base_de_dados!I634*300</f>
        <v>165000</v>
      </c>
      <c r="E634" s="10">
        <f>Base_de_dados!H634/Base_de_dados!I634</f>
        <v>6.85454542</v>
      </c>
      <c r="F634" s="11">
        <f>(D634-Base_de_dados!H634)/Base_de_dados!H634</f>
        <v>42.766578469911138</v>
      </c>
    </row>
    <row r="635" spans="1:6">
      <c r="A635" s="6" t="str">
        <f>Base_de_dados!A635</f>
        <v>Ad_20</v>
      </c>
      <c r="B635" s="8">
        <f>Base_de_dados!G635/Base_de_dados!F635</f>
        <v>4.0012804097311139E-3</v>
      </c>
      <c r="C635" s="9">
        <f>Base_de_dados!G635/Base_de_dados!H635</f>
        <v>3.1347961822309152E-2</v>
      </c>
      <c r="D635" s="9">
        <f>Base_de_dados!I635*300</f>
        <v>150000</v>
      </c>
      <c r="E635" s="10">
        <f>Base_de_dados!H635/Base_de_dados!I635</f>
        <v>6.3800001139999996</v>
      </c>
      <c r="F635" s="11">
        <f>(D635-Base_de_dados!H635)/Base_de_dados!H635</f>
        <v>46.021942733463725</v>
      </c>
    </row>
    <row r="636" spans="1:6">
      <c r="A636" s="6" t="str">
        <f>Base_de_dados!A636</f>
        <v>Ad_20</v>
      </c>
      <c r="B636" s="8">
        <f>Base_de_dados!G636/Base_de_dados!F636</f>
        <v>7.4737670775577719E-3</v>
      </c>
      <c r="C636" s="9">
        <f>Base_de_dados!G636/Base_de_dados!H636</f>
        <v>3.101736979118563E-2</v>
      </c>
      <c r="D636" s="9">
        <f>Base_de_dados!I636*300</f>
        <v>165000</v>
      </c>
      <c r="E636" s="10">
        <f>Base_de_dados!H636/Base_de_dados!I636</f>
        <v>43.963636272727271</v>
      </c>
      <c r="F636" s="11">
        <f>(D636-Base_de_dados!H636)/Base_de_dados!H636</f>
        <v>5.823821354060839</v>
      </c>
    </row>
    <row r="637" spans="1:6">
      <c r="A637" s="6" t="str">
        <f>Base_de_dados!A637</f>
        <v>Ad_20</v>
      </c>
      <c r="B637" s="8">
        <f>Base_de_dados!G637/Base_de_dados!F637</f>
        <v>7.3517343254185363E-3</v>
      </c>
      <c r="C637" s="9">
        <f>Base_de_dados!G637/Base_de_dados!H637</f>
        <v>2.7958387632596674E-2</v>
      </c>
      <c r="D637" s="9">
        <f>Base_de_dados!I637*300</f>
        <v>165000</v>
      </c>
      <c r="E637" s="10">
        <f>Base_de_dados!H637/Base_de_dados!I637</f>
        <v>139.81818123636361</v>
      </c>
      <c r="F637" s="11">
        <f>(D637-Base_de_dados!H637)/Base_de_dados!H637</f>
        <v>1.1456437020364889</v>
      </c>
    </row>
    <row r="638" spans="1:6">
      <c r="A638" s="6" t="str">
        <f>Base_de_dados!A638</f>
        <v>Ad_20</v>
      </c>
      <c r="B638" s="8">
        <f>Base_de_dados!G638/Base_de_dados!F638</f>
        <v>5.3796495542576079E-3</v>
      </c>
      <c r="C638" s="9">
        <f>Base_de_dados!G638/Base_de_dados!H638</f>
        <v>2.4104683029582071E-2</v>
      </c>
      <c r="D638" s="9">
        <f>Base_de_dados!I638*300</f>
        <v>150000</v>
      </c>
      <c r="E638" s="10">
        <f>Base_de_dados!H638/Base_de_dados!I638</f>
        <v>29.040000200000001</v>
      </c>
      <c r="F638" s="11">
        <f>(D638-Base_de_dados!H638)/Base_de_dados!H638</f>
        <v>9.3305784412494592</v>
      </c>
    </row>
    <row r="639" spans="1:6">
      <c r="A639" s="6" t="str">
        <f>Base_de_dados!A639</f>
        <v>Ad_20</v>
      </c>
      <c r="B639" s="8">
        <f>Base_de_dados!G639/Base_de_dados!F639</f>
        <v>7.8760238831048039E-3</v>
      </c>
      <c r="C639" s="9">
        <f>Base_de_dados!G639/Base_de_dados!H639</f>
        <v>2.9029582085533037E-2</v>
      </c>
      <c r="D639" s="9">
        <f>Base_de_dados!I639*300</f>
        <v>150000</v>
      </c>
      <c r="E639" s="10">
        <f>Base_de_dados!H639/Base_de_dados!I639</f>
        <v>72.340001099999995</v>
      </c>
      <c r="F639" s="11">
        <f>(D639-Base_de_dados!H639)/Base_de_dados!H639</f>
        <v>3.1470831550761482</v>
      </c>
    </row>
    <row r="640" spans="1:6">
      <c r="A640" s="6" t="str">
        <f>Base_de_dados!A640</f>
        <v>Ad_20</v>
      </c>
      <c r="B640" s="8">
        <f>Base_de_dados!G640/Base_de_dados!F640</f>
        <v>1.1453643580232773E-2</v>
      </c>
      <c r="C640" s="9">
        <f>Base_de_dados!G640/Base_de_dados!H640</f>
        <v>3.3818937928184648E-2</v>
      </c>
      <c r="D640" s="9">
        <f>Base_de_dados!I640*300</f>
        <v>270000</v>
      </c>
      <c r="E640" s="10">
        <f>Base_de_dados!H640/Base_de_dados!I640</f>
        <v>42.711111966666664</v>
      </c>
      <c r="F640" s="11">
        <f>(D640-Base_de_dados!H640)/Base_de_dados!H640</f>
        <v>6.0239332620075814</v>
      </c>
    </row>
    <row r="641" spans="1:6">
      <c r="A641" s="6" t="str">
        <f>Base_de_dados!A641</f>
        <v>Ad_20</v>
      </c>
      <c r="B641" s="8">
        <f>Base_de_dados!G641/Base_de_dados!F641</f>
        <v>1.0632228618847571E-2</v>
      </c>
      <c r="C641" s="9">
        <f>Base_de_dados!G641/Base_de_dados!H641</f>
        <v>3.3101889256500795E-2</v>
      </c>
      <c r="D641" s="9">
        <f>Base_de_dados!I641*300</f>
        <v>225000</v>
      </c>
      <c r="E641" s="10">
        <f>Base_de_dados!H641/Base_de_dados!I641</f>
        <v>82.57333326666668</v>
      </c>
      <c r="F641" s="11">
        <f>(D641-Base_de_dados!H641)/Base_de_dados!H641</f>
        <v>2.6331341866891118</v>
      </c>
    </row>
    <row r="642" spans="1:6">
      <c r="A642" s="6" t="str">
        <f>Base_de_dados!A642</f>
        <v>Ad_20</v>
      </c>
      <c r="B642" s="8">
        <f>Base_de_dados!G642/Base_de_dados!F642</f>
        <v>9.2114959469417838E-3</v>
      </c>
      <c r="C642" s="9">
        <f>Base_de_dados!G642/Base_de_dados!H642</f>
        <v>3.0535434960540432E-2</v>
      </c>
      <c r="D642" s="9">
        <f>Base_de_dados!I642*300</f>
        <v>165000</v>
      </c>
      <c r="E642" s="10">
        <f>Base_de_dados!H642/Base_de_dados!I642</f>
        <v>128.0181832727273</v>
      </c>
      <c r="F642" s="11">
        <f>(D642-Base_de_dados!H642)/Base_de_dados!H642</f>
        <v>1.3434171016228702</v>
      </c>
    </row>
    <row r="643" spans="1:6">
      <c r="A643" s="6" t="str">
        <f>Base_de_dados!A643</f>
        <v>Ad_20</v>
      </c>
      <c r="B643" s="8">
        <f>Base_de_dados!G643/Base_de_dados!F643</f>
        <v>9.3136608119959944E-3</v>
      </c>
      <c r="C643" s="9">
        <f>Base_de_dados!G643/Base_de_dados!H643</f>
        <v>3.1914893701901308E-2</v>
      </c>
      <c r="D643" s="9">
        <f>Base_de_dados!I643*300</f>
        <v>135000</v>
      </c>
      <c r="E643" s="10">
        <f>Base_de_dados!H643/Base_de_dados!I643</f>
        <v>83.555555333333345</v>
      </c>
      <c r="F643" s="11">
        <f>(D643-Base_de_dados!H643)/Base_de_dados!H643</f>
        <v>2.5904255414638975</v>
      </c>
    </row>
    <row r="644" spans="1:6">
      <c r="A644" s="6" t="str">
        <f>Base_de_dados!A644</f>
        <v>Ad_20</v>
      </c>
      <c r="B644" s="8">
        <f>Base_de_dados!G644/Base_de_dados!F644</f>
        <v>9.4393052671323391E-3</v>
      </c>
      <c r="C644" s="9">
        <f>Base_de_dados!G644/Base_de_dados!H644</f>
        <v>2.9140359015643665E-2</v>
      </c>
      <c r="D644" s="9">
        <f>Base_de_dados!I644*300</f>
        <v>165000</v>
      </c>
      <c r="E644" s="10">
        <f>Base_de_dados!H644/Base_de_dados!I644</f>
        <v>37.436364127272725</v>
      </c>
      <c r="F644" s="11">
        <f>(D644-Base_de_dados!H644)/Base_de_dados!H644</f>
        <v>7.0135987293020081</v>
      </c>
    </row>
    <row r="645" spans="1:6">
      <c r="A645" s="6" t="str">
        <f>Base_de_dados!A645</f>
        <v>Ad_20</v>
      </c>
      <c r="B645" s="8">
        <f>Base_de_dados!G645/Base_de_dados!F645</f>
        <v>8.1423752471792479E-3</v>
      </c>
      <c r="C645" s="9">
        <f>Base_de_dados!G645/Base_de_dados!H645</f>
        <v>2.8248587331226659E-2</v>
      </c>
      <c r="D645" s="9">
        <f>Base_de_dados!I645*300</f>
        <v>165000</v>
      </c>
      <c r="E645" s="10">
        <f>Base_de_dados!H645/Base_de_dados!I645</f>
        <v>45.054545836363637</v>
      </c>
      <c r="F645" s="11">
        <f>(D645-Base_de_dados!H645)/Base_de_dados!H645</f>
        <v>5.6585955852177126</v>
      </c>
    </row>
    <row r="646" spans="1:6">
      <c r="A646" s="6" t="str">
        <f>Base_de_dados!A646</f>
        <v>Ad_20</v>
      </c>
      <c r="B646" s="8">
        <f>Base_de_dados!G646/Base_de_dados!F646</f>
        <v>6.0960741282613997E-3</v>
      </c>
      <c r="C646" s="9">
        <f>Base_de_dados!G646/Base_de_dados!H646</f>
        <v>2.7081923394096537E-2</v>
      </c>
      <c r="D646" s="9">
        <f>Base_de_dados!I646*300</f>
        <v>150000</v>
      </c>
      <c r="E646" s="10">
        <f>Base_de_dados!H646/Base_de_dados!I646</f>
        <v>59.079998740000001</v>
      </c>
      <c r="F646" s="11">
        <f>(D646-Base_de_dados!H646)/Base_de_dados!H646</f>
        <v>4.0778606363931003</v>
      </c>
    </row>
    <row r="647" spans="1:6">
      <c r="A647" s="6" t="str">
        <f>Base_de_dados!A647</f>
        <v>Ad_20</v>
      </c>
      <c r="B647" s="8">
        <f>Base_de_dados!G647/Base_de_dados!F647</f>
        <v>7.2152911697954793E-3</v>
      </c>
      <c r="C647" s="9">
        <f>Base_de_dados!G647/Base_de_dados!H647</f>
        <v>2.9062087347504314E-2</v>
      </c>
      <c r="D647" s="9">
        <f>Base_de_dados!I647*300</f>
        <v>150000</v>
      </c>
      <c r="E647" s="10">
        <f>Base_de_dados!H647/Base_de_dados!I647</f>
        <v>75.699999579999997</v>
      </c>
      <c r="F647" s="11">
        <f>(D647-Base_de_dados!H647)/Base_de_dados!H647</f>
        <v>2.9630119110233157</v>
      </c>
    </row>
    <row r="648" spans="1:6">
      <c r="A648" s="6" t="str">
        <f>Base_de_dados!A648</f>
        <v>Ad_20</v>
      </c>
      <c r="B648" s="8">
        <f>Base_de_dados!G648/Base_de_dados!F648</f>
        <v>3.4495843250888268E-3</v>
      </c>
      <c r="C648" s="9">
        <f>Base_de_dados!G648/Base_de_dados!H648</f>
        <v>4.3668121870292335E-2</v>
      </c>
      <c r="D648" s="9">
        <f>Base_de_dados!I648*300</f>
        <v>120000</v>
      </c>
      <c r="E648" s="10">
        <f>Base_de_dados!H648/Base_de_dados!I648</f>
        <v>5.7250000524999995</v>
      </c>
      <c r="F648" s="11">
        <f>(D648-Base_de_dados!H648)/Base_de_dados!H648</f>
        <v>51.401746244350804</v>
      </c>
    </row>
    <row r="649" spans="1:6">
      <c r="A649" s="6" t="str">
        <f>Base_de_dados!A649</f>
        <v>Ad_20</v>
      </c>
      <c r="B649" s="8">
        <f>Base_de_dados!G649/Base_de_dados!F649</f>
        <v>9.3460273153225006E-3</v>
      </c>
      <c r="C649" s="9">
        <f>Base_de_dados!G649/Base_de_dados!H649</f>
        <v>3.1004546949096153E-2</v>
      </c>
      <c r="D649" s="9">
        <f>Base_de_dados!I649*300</f>
        <v>165000</v>
      </c>
      <c r="E649" s="10">
        <f>Base_de_dados!H649/Base_de_dados!I649</f>
        <v>43.981818727272724</v>
      </c>
      <c r="F649" s="11">
        <f>(D649-Base_de_dados!H649)/Base_de_dados!H649</f>
        <v>5.8210003288011531</v>
      </c>
    </row>
    <row r="650" spans="1:6">
      <c r="A650" s="6" t="str">
        <f>Base_de_dados!A650</f>
        <v>Ad_20</v>
      </c>
      <c r="B650" s="8">
        <f>Base_de_dados!G650/Base_de_dados!F650</f>
        <v>6.4800414722654227E-3</v>
      </c>
      <c r="C650" s="9">
        <f>Base_de_dados!G650/Base_de_dados!H650</f>
        <v>2.9342723070130489E-2</v>
      </c>
      <c r="D650" s="9">
        <f>Base_de_dados!I650*300</f>
        <v>150000</v>
      </c>
      <c r="E650" s="10">
        <f>Base_de_dados!H650/Base_de_dados!I650</f>
        <v>17.039999962</v>
      </c>
      <c r="F650" s="11">
        <f>(D650-Base_de_dados!H650)/Base_de_dados!H650</f>
        <v>16.605633842078294</v>
      </c>
    </row>
    <row r="651" spans="1:6">
      <c r="A651" s="6" t="str">
        <f>Base_de_dados!A651</f>
        <v>Ad_20</v>
      </c>
      <c r="B651" s="8">
        <f>Base_de_dados!G651/Base_de_dados!F651</f>
        <v>2.9820480706148982E-3</v>
      </c>
      <c r="C651" s="9">
        <f>Base_de_dados!G651/Base_de_dados!H651</f>
        <v>3.3783783350073052E-2</v>
      </c>
      <c r="D651" s="9">
        <f>Base_de_dados!I651*300</f>
        <v>135000</v>
      </c>
      <c r="E651" s="10">
        <f>Base_de_dados!H651/Base_de_dados!I651</f>
        <v>6.5777778622222227</v>
      </c>
      <c r="F651" s="11">
        <f>(D651-Base_de_dados!H651)/Base_de_dados!H651</f>
        <v>44.608107522598615</v>
      </c>
    </row>
    <row r="652" spans="1:6">
      <c r="A652" s="6" t="str">
        <f>Base_de_dados!A652</f>
        <v>Ad_20</v>
      </c>
      <c r="B652" s="8">
        <f>Base_de_dados!G652/Base_de_dados!F652</f>
        <v>6.2083362434909471E-3</v>
      </c>
      <c r="C652" s="9">
        <f>Base_de_dados!G652/Base_de_dados!H652</f>
        <v>3.3755274874040855E-2</v>
      </c>
      <c r="D652" s="9">
        <f>Base_de_dados!I652*300</f>
        <v>135000</v>
      </c>
      <c r="E652" s="10">
        <f>Base_de_dados!H652/Base_de_dados!I652</f>
        <v>52.666665711111108</v>
      </c>
      <c r="F652" s="11">
        <f>(D652-Base_de_dados!H652)/Base_de_dados!H652</f>
        <v>4.6962026349943935</v>
      </c>
    </row>
    <row r="653" spans="1:6">
      <c r="A653" s="6" t="str">
        <f>Base_de_dados!A653</f>
        <v>Ad_20</v>
      </c>
      <c r="B653" s="8">
        <f>Base_de_dados!G653/Base_de_dados!F653</f>
        <v>6.5160729800173758E-3</v>
      </c>
      <c r="C653" s="9">
        <f>Base_de_dados!G653/Base_de_dados!H653</f>
        <v>3.541912595186289E-2</v>
      </c>
      <c r="D653" s="9">
        <f>Base_de_dados!I653*300</f>
        <v>195000</v>
      </c>
      <c r="E653" s="10">
        <f>Base_de_dados!H653/Base_de_dados!I653</f>
        <v>26.061538738461536</v>
      </c>
      <c r="F653" s="11">
        <f>(D653-Base_de_dados!H653)/Base_de_dados!H653</f>
        <v>10.511215934355439</v>
      </c>
    </row>
    <row r="654" spans="1:6">
      <c r="A654" s="6" t="str">
        <f>Base_de_dados!A654</f>
        <v>Ad_20</v>
      </c>
      <c r="B654" s="8">
        <f>Base_de_dados!G654/Base_de_dados!F654</f>
        <v>7.7873533381787978E-3</v>
      </c>
      <c r="C654" s="9">
        <f>Base_de_dados!G654/Base_de_dados!H654</f>
        <v>3.5369775480678108E-2</v>
      </c>
      <c r="D654" s="9">
        <f>Base_de_dados!I654*300</f>
        <v>165000</v>
      </c>
      <c r="E654" s="10">
        <f>Base_de_dados!H654/Base_de_dados!I654</f>
        <v>84.818180472727278</v>
      </c>
      <c r="F654" s="11">
        <f>(D654-Base_de_dados!H654)/Base_de_dados!H654</f>
        <v>2.5369775480678105</v>
      </c>
    </row>
    <row r="655" spans="1:6">
      <c r="A655" s="6" t="str">
        <f>Base_de_dados!A655</f>
        <v>Ad_20</v>
      </c>
      <c r="B655" s="8">
        <f>Base_de_dados!G655/Base_de_dados!F655</f>
        <v>3.9902106831240687E-3</v>
      </c>
      <c r="C655" s="9">
        <f>Base_de_dados!G655/Base_de_dados!H655</f>
        <v>3.548895913047697E-2</v>
      </c>
      <c r="D655" s="9">
        <f>Base_de_dados!I655*300</f>
        <v>135000</v>
      </c>
      <c r="E655" s="10">
        <f>Base_de_dados!H655/Base_de_dados!I655</f>
        <v>28.177777666666664</v>
      </c>
      <c r="F655" s="11">
        <f>(D655-Base_de_dados!H655)/Base_de_dados!H655</f>
        <v>9.6466877391430916</v>
      </c>
    </row>
    <row r="656" spans="1:6">
      <c r="A656" s="6" t="str">
        <f>Base_de_dados!A656</f>
        <v>Ad_20</v>
      </c>
      <c r="B656" s="8">
        <f>Base_de_dados!G656/Base_de_dados!F656</f>
        <v>4.8168230987311114E-3</v>
      </c>
      <c r="C656" s="9">
        <f>Base_de_dados!G656/Base_de_dados!H656</f>
        <v>3.5317860657623962E-2</v>
      </c>
      <c r="D656" s="9">
        <f>Base_de_dados!I656*300</f>
        <v>165000</v>
      </c>
      <c r="E656" s="10">
        <f>Base_de_dados!H656/Base_de_dados!I656</f>
        <v>36.036363727272729</v>
      </c>
      <c r="F656" s="11">
        <f>(D656-Base_de_dados!H656)/Base_de_dados!H656</f>
        <v>7.3249242978685052</v>
      </c>
    </row>
    <row r="657" spans="1:6">
      <c r="A657" s="6" t="str">
        <f>Base_de_dados!A657</f>
        <v>Ad_20</v>
      </c>
      <c r="B657" s="8">
        <f>Base_de_dados!G657/Base_de_dados!F657</f>
        <v>6.5732637193404199E-3</v>
      </c>
      <c r="C657" s="9">
        <f>Base_de_dados!G657/Base_de_dados!H657</f>
        <v>3.2925681675780492E-2</v>
      </c>
      <c r="D657" s="9">
        <f>Base_de_dados!I657*300</f>
        <v>165000</v>
      </c>
      <c r="E657" s="10">
        <f>Base_de_dados!H657/Base_de_dados!I657</f>
        <v>38.654545872727269</v>
      </c>
      <c r="F657" s="11">
        <f>(D657-Base_de_dados!H657)/Base_de_dados!H657</f>
        <v>6.7610535378625443</v>
      </c>
    </row>
    <row r="658" spans="1:6">
      <c r="A658" s="6" t="str">
        <f>Base_de_dados!A658</f>
        <v>Ad_20</v>
      </c>
      <c r="B658" s="8">
        <f>Base_de_dados!G658/Base_de_dados!F658</f>
        <v>6.4145053347302704E-3</v>
      </c>
      <c r="C658" s="9">
        <f>Base_de_dados!G658/Base_de_dados!H658</f>
        <v>3.6827890428841346E-2</v>
      </c>
      <c r="D658" s="9">
        <f>Base_de_dados!I658*300</f>
        <v>150000</v>
      </c>
      <c r="E658" s="10">
        <f>Base_de_dados!H658/Base_de_dados!I658</f>
        <v>81.460001239999997</v>
      </c>
      <c r="F658" s="11">
        <f>(D658-Base_de_dados!H658)/Base_de_dados!H658</f>
        <v>2.6827890428841341</v>
      </c>
    </row>
    <row r="659" spans="1:6">
      <c r="A659" s="6" t="str">
        <f>Base_de_dados!A659</f>
        <v>Ad_20</v>
      </c>
      <c r="B659" s="8">
        <f>Base_de_dados!G659/Base_de_dados!F659</f>
        <v>5.4688404771402466E-3</v>
      </c>
      <c r="C659" s="9">
        <f>Base_de_dados!G659/Base_de_dados!H659</f>
        <v>3.3986405125274968E-2</v>
      </c>
      <c r="D659" s="9">
        <f>Base_de_dados!I659*300</f>
        <v>180000</v>
      </c>
      <c r="E659" s="10">
        <f>Base_de_dados!H659/Base_de_dados!I659</f>
        <v>41.68333371666666</v>
      </c>
      <c r="F659" s="11">
        <f>(D659-Base_de_dados!H659)/Base_de_dados!H659</f>
        <v>6.1971210853523457</v>
      </c>
    </row>
    <row r="660" spans="1:6">
      <c r="A660" s="6" t="str">
        <f>Base_de_dados!A660</f>
        <v>Ad_20</v>
      </c>
      <c r="B660" s="8">
        <f>Base_de_dados!G660/Base_de_dados!F660</f>
        <v>4.1008816895632561E-3</v>
      </c>
      <c r="C660" s="9">
        <f>Base_de_dados!G660/Base_de_dados!H660</f>
        <v>3.4722223729263174E-2</v>
      </c>
      <c r="D660" s="9">
        <f>Base_de_dados!I660*300</f>
        <v>165000</v>
      </c>
      <c r="E660" s="10">
        <f>Base_de_dados!H660/Base_de_dados!I660</f>
        <v>20.945453636363638</v>
      </c>
      <c r="F660" s="11">
        <f>(D660-Base_de_dados!H660)/Base_de_dados!H660</f>
        <v>13.32291728832106</v>
      </c>
    </row>
    <row r="661" spans="1:6">
      <c r="A661" s="6" t="str">
        <f>Base_de_dados!A661</f>
        <v>Ad_20</v>
      </c>
      <c r="B661" s="8">
        <f>Base_de_dados!G661/Base_de_dados!F661</f>
        <v>4.0689441903614849E-3</v>
      </c>
      <c r="C661" s="9">
        <f>Base_de_dados!G661/Base_de_dados!H661</f>
        <v>3.2467532265137461E-2</v>
      </c>
      <c r="D661" s="9">
        <f>Base_de_dados!I661*300</f>
        <v>135000</v>
      </c>
      <c r="E661" s="10">
        <f>Base_de_dados!H661/Base_de_dados!I661</f>
        <v>17.111111217777779</v>
      </c>
      <c r="F661" s="11">
        <f>(D661-Base_de_dados!H661)/Base_de_dados!H661</f>
        <v>16.532467423174229</v>
      </c>
    </row>
    <row r="662" spans="1:6">
      <c r="A662" s="6" t="str">
        <f>Base_de_dados!A662</f>
        <v>Ad_21</v>
      </c>
      <c r="B662" s="8">
        <f>Base_de_dados!G662/Base_de_dados!F662</f>
        <v>1.1778153648910617E-2</v>
      </c>
      <c r="C662" s="9">
        <f>Base_de_dados!G662/Base_de_dados!H662</f>
        <v>3.7068546868341955E-2</v>
      </c>
      <c r="D662" s="9">
        <f>Base_de_dados!I662*300</f>
        <v>45000</v>
      </c>
      <c r="E662" s="10">
        <f>Base_de_dados!H662/Base_de_dados!I662</f>
        <v>548.53332680000005</v>
      </c>
      <c r="F662" s="11">
        <f>(D662-Base_de_dados!H662)/Base_de_dados!H662</f>
        <v>-0.45308701341790564</v>
      </c>
    </row>
    <row r="663" spans="1:6">
      <c r="A663" s="6" t="str">
        <f>Base_de_dados!A663</f>
        <v>Ad_21</v>
      </c>
      <c r="B663" s="8">
        <f>Base_de_dados!G663/Base_de_dados!F663</f>
        <v>1.1690835846051177E-2</v>
      </c>
      <c r="C663" s="9">
        <f>Base_de_dados!G663/Base_de_dados!H663</f>
        <v>3.355235516714037E-2</v>
      </c>
      <c r="D663" s="9">
        <f>Base_de_dados!I663*300</f>
        <v>30000</v>
      </c>
      <c r="E663" s="10">
        <f>Base_de_dados!H663/Base_de_dados!I663</f>
        <v>715.30001040000002</v>
      </c>
      <c r="F663" s="11">
        <f>(D663-Base_de_dados!H663)/Base_de_dados!H663</f>
        <v>-0.58059556041074545</v>
      </c>
    </row>
    <row r="664" spans="1:6">
      <c r="A664" s="6" t="str">
        <f>Base_de_dados!A664</f>
        <v>Ad_21</v>
      </c>
      <c r="B664" s="8">
        <f>Base_de_dados!G664/Base_de_dados!F664</f>
        <v>1.1281865137565177E-2</v>
      </c>
      <c r="C664" s="9">
        <f>Base_de_dados!G664/Base_de_dados!H664</f>
        <v>3.6046390890113696E-2</v>
      </c>
      <c r="D664" s="9">
        <f>Base_de_dados!I664*300</f>
        <v>165000</v>
      </c>
      <c r="E664" s="10">
        <f>Base_de_dados!H664/Base_de_dados!I664</f>
        <v>348.03635636363634</v>
      </c>
      <c r="F664" s="11">
        <f>(D664-Base_de_dados!H664)/Base_de_dados!H664</f>
        <v>-0.13802108741032459</v>
      </c>
    </row>
    <row r="665" spans="1:6">
      <c r="A665" s="6" t="str">
        <f>Base_de_dados!A665</f>
        <v>Ad_21</v>
      </c>
      <c r="B665" s="8">
        <f>Base_de_dados!G665/Base_de_dados!F665</f>
        <v>1.2293477492383848E-2</v>
      </c>
      <c r="C665" s="9">
        <f>Base_de_dados!G665/Base_de_dados!H665</f>
        <v>3.6194736960642827E-2</v>
      </c>
      <c r="D665" s="9">
        <f>Base_de_dados!I665*300</f>
        <v>165000</v>
      </c>
      <c r="E665" s="10">
        <f>Base_de_dados!H665/Base_de_dados!I665</f>
        <v>585.21818254545451</v>
      </c>
      <c r="F665" s="11">
        <f>(D665-Base_de_dados!H665)/Base_de_dados!H665</f>
        <v>-0.48737067823982261</v>
      </c>
    </row>
    <row r="666" spans="1:6">
      <c r="A666" s="6" t="str">
        <f>Base_de_dados!A666</f>
        <v>Ad_21</v>
      </c>
      <c r="B666" s="8">
        <f>Base_de_dados!G666/Base_de_dados!F666</f>
        <v>1.0513081276845904E-2</v>
      </c>
      <c r="C666" s="9">
        <f>Base_de_dados!G666/Base_de_dados!H666</f>
        <v>3.7674919076845718E-2</v>
      </c>
      <c r="D666" s="9">
        <f>Base_de_dados!I666*300</f>
        <v>30000</v>
      </c>
      <c r="E666" s="10">
        <f>Base_de_dados!H666/Base_de_dados!I666</f>
        <v>650.30000329999996</v>
      </c>
      <c r="F666" s="11">
        <f>(D666-Base_de_dados!H666)/Base_de_dados!H666</f>
        <v>-0.53867446028352184</v>
      </c>
    </row>
    <row r="667" spans="1:6">
      <c r="A667" s="6" t="str">
        <f>Base_de_dados!A667</f>
        <v>Ad_21</v>
      </c>
      <c r="B667" s="8">
        <f>Base_de_dados!G667/Base_de_dados!F667</f>
        <v>1.2184134883521387E-2</v>
      </c>
      <c r="C667" s="9">
        <f>Base_de_dados!G667/Base_de_dados!H667</f>
        <v>3.6445767895564508E-2</v>
      </c>
      <c r="D667" s="9">
        <f>Base_de_dados!I667*300</f>
        <v>165000</v>
      </c>
      <c r="E667" s="10">
        <f>Base_de_dados!H667/Base_de_dados!I667</f>
        <v>354.19999781818183</v>
      </c>
      <c r="F667" s="11">
        <f>(D667-Base_de_dados!H667)/Base_de_dados!H667</f>
        <v>-0.15302088693406429</v>
      </c>
    </row>
    <row r="668" spans="1:6">
      <c r="A668" s="6" t="str">
        <f>Base_de_dados!A668</f>
        <v>Ad_21</v>
      </c>
      <c r="B668" s="8">
        <f>Base_de_dados!G668/Base_de_dados!F668</f>
        <v>9.6212618567903477E-3</v>
      </c>
      <c r="C668" s="9">
        <f>Base_de_dados!G668/Base_de_dados!H668</f>
        <v>3.2500637549075118E-2</v>
      </c>
      <c r="D668" s="9">
        <f>Base_de_dados!I668*300</f>
        <v>30000</v>
      </c>
      <c r="E668" s="10">
        <f>Base_de_dados!H668/Base_de_dados!I668</f>
        <v>784.59999319999986</v>
      </c>
      <c r="F668" s="11">
        <f>(D668-Base_de_dados!H668)/Base_de_dados!H668</f>
        <v>-0.61763955824617511</v>
      </c>
    </row>
    <row r="669" spans="1:6">
      <c r="A669" s="6" t="str">
        <f>Base_de_dados!A669</f>
        <v>Ad_21</v>
      </c>
      <c r="B669" s="8">
        <f>Base_de_dados!G669/Base_de_dados!F669</f>
        <v>8.7729953705578279E-3</v>
      </c>
      <c r="C669" s="9">
        <f>Base_de_dados!G669/Base_de_dados!H669</f>
        <v>3.6360247025834909E-2</v>
      </c>
      <c r="D669" s="9">
        <f>Base_de_dados!I669*300</f>
        <v>135000</v>
      </c>
      <c r="E669" s="10">
        <f>Base_de_dados!H669/Base_de_dados!I669</f>
        <v>119.17777484444444</v>
      </c>
      <c r="F669" s="11">
        <f>(D669-Base_de_dados!H669)/Base_de_dados!H669</f>
        <v>1.51724787101934</v>
      </c>
    </row>
    <row r="670" spans="1:6">
      <c r="A670" s="6" t="str">
        <f>Base_de_dados!A670</f>
        <v>Ad_21</v>
      </c>
      <c r="B670" s="8">
        <f>Base_de_dados!G670/Base_de_dados!F670</f>
        <v>1.0661863392680191E-2</v>
      </c>
      <c r="C670" s="9">
        <f>Base_de_dados!G670/Base_de_dados!H670</f>
        <v>3.486893414575893E-2</v>
      </c>
      <c r="D670" s="9">
        <f>Base_de_dados!I670*300</f>
        <v>75000</v>
      </c>
      <c r="E670" s="10">
        <f>Base_de_dados!H670/Base_de_dados!I670</f>
        <v>975.07999119999999</v>
      </c>
      <c r="F670" s="11">
        <f>(D670-Base_de_dados!H670)/Base_de_dados!H670</f>
        <v>-0.69233293400800944</v>
      </c>
    </row>
    <row r="671" spans="1:6">
      <c r="A671" s="6" t="str">
        <f>Base_de_dados!A671</f>
        <v>Ad_21</v>
      </c>
      <c r="B671" s="8">
        <f>Base_de_dados!G671/Base_de_dados!F671</f>
        <v>9.8319386746330579E-3</v>
      </c>
      <c r="C671" s="9">
        <f>Base_de_dados!G671/Base_de_dados!H671</f>
        <v>3.4615238562778927E-2</v>
      </c>
      <c r="D671" s="9">
        <f>Base_de_dados!I671*300</f>
        <v>60000</v>
      </c>
      <c r="E671" s="10">
        <f>Base_de_dados!H671/Base_de_dados!I671</f>
        <v>1314.4499905000002</v>
      </c>
      <c r="F671" s="11">
        <f>(D671-Base_de_dados!H671)/Base_de_dados!H671</f>
        <v>-0.7717676578278313</v>
      </c>
    </row>
    <row r="672" spans="1:6">
      <c r="A672" s="6" t="str">
        <f>Base_de_dados!A672</f>
        <v>Ad_21</v>
      </c>
      <c r="B672" s="8">
        <f>Base_de_dados!G672/Base_de_dados!F672</f>
        <v>6.7537145429986496E-3</v>
      </c>
      <c r="C672" s="9">
        <f>Base_de_dados!G672/Base_de_dados!H672</f>
        <v>3.7037035290352169E-2</v>
      </c>
      <c r="D672" s="9">
        <f>Base_de_dados!I672*300</f>
        <v>0</v>
      </c>
      <c r="E672" s="10" t="e">
        <f>Base_de_dados!H672/Base_de_dados!I672</f>
        <v>#DIV/0!</v>
      </c>
      <c r="F672" s="11">
        <f>(D672-Base_de_dados!H672)/Base_de_dados!H672</f>
        <v>-1</v>
      </c>
    </row>
    <row r="673" spans="1:6">
      <c r="A673" s="6" t="str">
        <f>Base_de_dados!A673</f>
        <v>Ad_21</v>
      </c>
      <c r="B673" s="8">
        <f>Base_de_dados!G673/Base_de_dados!F673</f>
        <v>1.185574788213231E-2</v>
      </c>
      <c r="C673" s="9">
        <f>Base_de_dados!G673/Base_de_dados!H673</f>
        <v>3.3516148996186615E-2</v>
      </c>
      <c r="D673" s="9">
        <f>Base_de_dados!I673*300</f>
        <v>60000</v>
      </c>
      <c r="E673" s="10">
        <f>Base_de_dados!H673/Base_de_dados!I673</f>
        <v>82.049999249999999</v>
      </c>
      <c r="F673" s="11">
        <f>(D673-Base_de_dados!H673)/Base_de_dados!H673</f>
        <v>2.6563071632203581</v>
      </c>
    </row>
    <row r="674" spans="1:6">
      <c r="A674" s="6" t="str">
        <f>Base_de_dados!A674</f>
        <v>Ad_21</v>
      </c>
      <c r="B674" s="8">
        <f>Base_de_dados!G674/Base_de_dados!F674</f>
        <v>1.1024953143949138E-2</v>
      </c>
      <c r="C674" s="9">
        <f>Base_de_dados!G674/Base_de_dados!H674</f>
        <v>3.1631269831481623E-2</v>
      </c>
      <c r="D674" s="9">
        <f>Base_de_dados!I674*300</f>
        <v>0</v>
      </c>
      <c r="E674" s="10" t="e">
        <f>Base_de_dados!H674/Base_de_dados!I674</f>
        <v>#DIV/0!</v>
      </c>
      <c r="F674" s="11">
        <f>(D674-Base_de_dados!H674)/Base_de_dados!H674</f>
        <v>-1</v>
      </c>
    </row>
    <row r="675" spans="1:6">
      <c r="A675" s="6" t="str">
        <f>Base_de_dados!A675</f>
        <v>Ad_21</v>
      </c>
      <c r="B675" s="8">
        <f>Base_de_dados!G675/Base_de_dados!F675</f>
        <v>1.3789299503585218E-2</v>
      </c>
      <c r="C675" s="9">
        <f>Base_de_dados!G675/Base_de_dados!H675</f>
        <v>3.6420395819369573E-2</v>
      </c>
      <c r="D675" s="9">
        <f>Base_de_dados!I675*300</f>
        <v>15000</v>
      </c>
      <c r="E675" s="10">
        <f>Base_de_dados!H675/Base_de_dados!I675</f>
        <v>192.19999789999997</v>
      </c>
      <c r="F675" s="11">
        <f>(D675-Base_de_dados!H675)/Base_de_dados!H675</f>
        <v>0.56087410654441028</v>
      </c>
    </row>
    <row r="676" spans="1:6">
      <c r="A676" s="6" t="str">
        <f>Base_de_dados!A676</f>
        <v>Ad_21</v>
      </c>
      <c r="B676" s="8">
        <f>Base_de_dados!G676/Base_de_dados!F676</f>
        <v>1.2932477254054713E-2</v>
      </c>
      <c r="C676" s="9">
        <f>Base_de_dados!G676/Base_de_dados!H676</f>
        <v>3.8426762901843964E-2</v>
      </c>
      <c r="D676" s="9">
        <f>Base_de_dados!I676*300</f>
        <v>0</v>
      </c>
      <c r="E676" s="10" t="e">
        <f>Base_de_dados!H676/Base_de_dados!I676</f>
        <v>#DIV/0!</v>
      </c>
      <c r="F676" s="11">
        <f>(D676-Base_de_dados!H676)/Base_de_dados!H676</f>
        <v>-1</v>
      </c>
    </row>
    <row r="677" spans="1:6">
      <c r="A677" s="6" t="str">
        <f>Base_de_dados!A677</f>
        <v>Ad_21</v>
      </c>
      <c r="B677" s="8">
        <f>Base_de_dados!G677/Base_de_dados!F677</f>
        <v>1.3062186251408666E-2</v>
      </c>
      <c r="C677" s="9">
        <f>Base_de_dados!G677/Base_de_dados!H677</f>
        <v>3.2667178917240393E-2</v>
      </c>
      <c r="D677" s="9">
        <f>Base_de_dados!I677*300</f>
        <v>0</v>
      </c>
      <c r="E677" s="10" t="e">
        <f>Base_de_dados!H677/Base_de_dados!I677</f>
        <v>#DIV/0!</v>
      </c>
      <c r="F677" s="11">
        <f>(D677-Base_de_dados!H677)/Base_de_dados!H677</f>
        <v>-1</v>
      </c>
    </row>
    <row r="678" spans="1:6">
      <c r="A678" s="6" t="str">
        <f>Base_de_dados!A678</f>
        <v>Ad_21</v>
      </c>
      <c r="B678" s="8">
        <f>Base_de_dados!G678/Base_de_dados!F678</f>
        <v>1.2558022716067757E-2</v>
      </c>
      <c r="C678" s="9">
        <f>Base_de_dados!G678/Base_de_dados!H678</f>
        <v>3.3023483947576038E-2</v>
      </c>
      <c r="D678" s="9">
        <f>Base_de_dados!I678*300</f>
        <v>0</v>
      </c>
      <c r="E678" s="10" t="e">
        <f>Base_de_dados!H678/Base_de_dados!I678</f>
        <v>#DIV/0!</v>
      </c>
      <c r="F678" s="11">
        <f>(D678-Base_de_dados!H678)/Base_de_dados!H678</f>
        <v>-1</v>
      </c>
    </row>
    <row r="679" spans="1:6">
      <c r="A679" s="6" t="str">
        <f>Base_de_dados!A679</f>
        <v>Ad_21</v>
      </c>
      <c r="B679" s="8">
        <f>Base_de_dados!G679/Base_de_dados!F679</f>
        <v>1.5927431587889083E-2</v>
      </c>
      <c r="C679" s="9">
        <f>Base_de_dados!G679/Base_de_dados!H679</f>
        <v>3.5710236869814782E-2</v>
      </c>
      <c r="D679" s="9">
        <f>Base_de_dados!I679*300</f>
        <v>135000</v>
      </c>
      <c r="E679" s="10">
        <f>Base_de_dados!H679/Base_de_dados!I679</f>
        <v>196.0222225777778</v>
      </c>
      <c r="F679" s="11">
        <f>(D679-Base_de_dados!H679)/Base_de_dados!H679</f>
        <v>0.53043872299206196</v>
      </c>
    </row>
    <row r="680" spans="1:6">
      <c r="A680" s="6" t="str">
        <f>Base_de_dados!A680</f>
        <v>Ad_21</v>
      </c>
      <c r="B680" s="8">
        <f>Base_de_dados!G680/Base_de_dados!F680</f>
        <v>1.2667023756098267E-2</v>
      </c>
      <c r="C680" s="9">
        <f>Base_de_dados!G680/Base_de_dados!H680</f>
        <v>3.5758072108470762E-2</v>
      </c>
      <c r="D680" s="9">
        <f>Base_de_dados!I680*300</f>
        <v>30000</v>
      </c>
      <c r="E680" s="10">
        <f>Base_de_dados!H680/Base_de_dados!I680</f>
        <v>489.39998629999997</v>
      </c>
      <c r="F680" s="11">
        <f>(D680-Base_de_dados!H680)/Base_de_dados!H680</f>
        <v>-0.38700447814050126</v>
      </c>
    </row>
    <row r="681" spans="1:6">
      <c r="A681" s="6" t="str">
        <f>Base_de_dados!A681</f>
        <v>Ad_21</v>
      </c>
      <c r="B681" s="8">
        <f>Base_de_dados!G681/Base_de_dados!F681</f>
        <v>1.2771912158860376E-2</v>
      </c>
      <c r="C681" s="9">
        <f>Base_de_dados!G681/Base_de_dados!H681</f>
        <v>3.599374061338996E-2</v>
      </c>
      <c r="D681" s="9">
        <f>Base_de_dados!I681*300</f>
        <v>30000</v>
      </c>
      <c r="E681" s="10">
        <f>Base_de_dados!H681/Base_de_dados!I681</f>
        <v>958.49998949999997</v>
      </c>
      <c r="F681" s="11">
        <f>(D681-Base_de_dados!H681)/Base_de_dados!H681</f>
        <v>-0.68701095118791333</v>
      </c>
    </row>
    <row r="682" spans="1:6">
      <c r="A682" s="6" t="str">
        <f>Base_de_dados!A682</f>
        <v>Ad_21</v>
      </c>
      <c r="B682" s="8">
        <f>Base_de_dados!G682/Base_de_dados!F682</f>
        <v>1.2665681923604554E-2</v>
      </c>
      <c r="C682" s="9">
        <f>Base_de_dados!G682/Base_de_dados!H682</f>
        <v>3.6004863061825237E-2</v>
      </c>
      <c r="D682" s="9">
        <f>Base_de_dados!I682*300</f>
        <v>255000</v>
      </c>
      <c r="E682" s="10">
        <f>Base_de_dados!H682/Base_de_dados!I682</f>
        <v>125.79999976470589</v>
      </c>
      <c r="F682" s="11">
        <f>(D682-Base_de_dados!H682)/Base_de_dados!H682</f>
        <v>1.3847376833156975</v>
      </c>
    </row>
    <row r="683" spans="1:6">
      <c r="A683" s="6" t="str">
        <f>Base_de_dados!A683</f>
        <v>Ad_21</v>
      </c>
      <c r="B683" s="8">
        <f>Base_de_dados!G683/Base_de_dados!F683</f>
        <v>1.3415517428443243E-2</v>
      </c>
      <c r="C683" s="9">
        <f>Base_de_dados!G683/Base_de_dados!H683</f>
        <v>3.5964154185568989E-2</v>
      </c>
      <c r="D683" s="9">
        <f>Base_de_dados!I683*300</f>
        <v>30000</v>
      </c>
      <c r="E683" s="10">
        <f>Base_de_dados!H683/Base_de_dados!I683</f>
        <v>2544.1999700000001</v>
      </c>
      <c r="F683" s="11">
        <f>(D683-Base_de_dados!H683)/Base_de_dados!H683</f>
        <v>-0.88208474037518358</v>
      </c>
    </row>
    <row r="684" spans="1:6">
      <c r="A684" s="6" t="str">
        <f>Base_de_dados!A684</f>
        <v>Ad_21</v>
      </c>
      <c r="B684" s="8">
        <f>Base_de_dados!G684/Base_de_dados!F684</f>
        <v>1.2638374979062932E-2</v>
      </c>
      <c r="C684" s="9">
        <f>Base_de_dados!G684/Base_de_dados!H684</f>
        <v>3.536730852493903E-2</v>
      </c>
      <c r="D684" s="9">
        <f>Base_de_dados!I684*300</f>
        <v>120000</v>
      </c>
      <c r="E684" s="10">
        <f>Base_de_dados!H684/Base_de_dados!I684</f>
        <v>293.35000125000005</v>
      </c>
      <c r="F684" s="11">
        <f>(D684-Base_de_dados!H684)/Base_de_dados!H684</f>
        <v>2.266916216691162E-2</v>
      </c>
    </row>
    <row r="685" spans="1:6">
      <c r="A685" s="6" t="str">
        <f>Base_de_dados!A685</f>
        <v>Ad_21</v>
      </c>
      <c r="B685" s="8">
        <f>Base_de_dados!G685/Base_de_dados!F685</f>
        <v>1.2739335652877106E-2</v>
      </c>
      <c r="C685" s="9">
        <f>Base_de_dados!G685/Base_de_dados!H685</f>
        <v>3.536104142953117E-2</v>
      </c>
      <c r="D685" s="9">
        <f>Base_de_dados!I685*300</f>
        <v>120000</v>
      </c>
      <c r="E685" s="10">
        <f>Base_de_dados!H685/Base_de_dados!I685</f>
        <v>975.64999799999987</v>
      </c>
      <c r="F685" s="11">
        <f>(D685-Base_de_dados!H685)/Base_de_dados!H685</f>
        <v>-0.69251268322146808</v>
      </c>
    </row>
    <row r="686" spans="1:6">
      <c r="A686" s="6" t="str">
        <f>Base_de_dados!A686</f>
        <v>Ad_21</v>
      </c>
      <c r="B686" s="8">
        <f>Base_de_dados!G686/Base_de_dados!F686</f>
        <v>1.3403667024462513E-2</v>
      </c>
      <c r="C686" s="9">
        <f>Base_de_dados!G686/Base_de_dados!H686</f>
        <v>3.5986016936018959E-2</v>
      </c>
      <c r="D686" s="9">
        <f>Base_de_dados!I686*300</f>
        <v>150000</v>
      </c>
      <c r="E686" s="10">
        <f>Base_de_dados!H686/Base_de_dados!I686</f>
        <v>680.81999859999996</v>
      </c>
      <c r="F686" s="11">
        <f>(D686-Base_de_dados!H686)/Base_de_dados!H686</f>
        <v>-0.55935489466099242</v>
      </c>
    </row>
    <row r="687" spans="1:6">
      <c r="A687" s="6" t="str">
        <f>Base_de_dados!A687</f>
        <v>Ad_21</v>
      </c>
      <c r="B687" s="8">
        <f>Base_de_dados!G687/Base_de_dados!F687</f>
        <v>1.1812651349595417E-2</v>
      </c>
      <c r="C687" s="9">
        <f>Base_de_dados!G687/Base_de_dados!H687</f>
        <v>3.5853002271207919E-2</v>
      </c>
      <c r="D687" s="9">
        <f>Base_de_dados!I687*300</f>
        <v>45000</v>
      </c>
      <c r="E687" s="10">
        <f>Base_de_dados!H687/Base_de_dados!I687</f>
        <v>223.13333593333334</v>
      </c>
      <c r="F687" s="11">
        <f>(D687-Base_de_dados!H687)/Base_de_dados!H687</f>
        <v>0.34448758517029698</v>
      </c>
    </row>
    <row r="688" spans="1:6">
      <c r="A688" s="6" t="str">
        <f>Base_de_dados!A688</f>
        <v>Ad_21</v>
      </c>
      <c r="B688" s="8">
        <f>Base_de_dados!G688/Base_de_dados!F688</f>
        <v>1.2703462522023938E-2</v>
      </c>
      <c r="C688" s="9">
        <f>Base_de_dados!G688/Base_de_dados!H688</f>
        <v>3.4701267429167022E-2</v>
      </c>
      <c r="D688" s="9">
        <f>Base_de_dados!I688*300</f>
        <v>75000</v>
      </c>
      <c r="E688" s="10">
        <f>Base_de_dados!H688/Base_de_dados!I688</f>
        <v>265.11999939999998</v>
      </c>
      <c r="F688" s="11">
        <f>(D688-Base_de_dados!H688)/Base_de_dados!H688</f>
        <v>0.13156306834240297</v>
      </c>
    </row>
    <row r="689" spans="1:6">
      <c r="A689" s="6" t="str">
        <f>Base_de_dados!A689</f>
        <v>Ad_21</v>
      </c>
      <c r="B689" s="8">
        <f>Base_de_dados!G689/Base_de_dados!F689</f>
        <v>1.3116572602103149E-2</v>
      </c>
      <c r="C689" s="9">
        <f>Base_de_dados!G689/Base_de_dados!H689</f>
        <v>3.6322125310449378E-2</v>
      </c>
      <c r="D689" s="9">
        <f>Base_de_dados!I689*300</f>
        <v>120000</v>
      </c>
      <c r="E689" s="10">
        <f>Base_de_dados!H689/Base_de_dados!I689</f>
        <v>120.450000175</v>
      </c>
      <c r="F689" s="11">
        <f>(D689-Base_de_dados!H689)/Base_de_dados!H689</f>
        <v>1.4906600212879573</v>
      </c>
    </row>
    <row r="690" spans="1:6">
      <c r="A690" s="6" t="str">
        <f>Base_de_dados!A690</f>
        <v>Ad_21</v>
      </c>
      <c r="B690" s="8">
        <f>Base_de_dados!G690/Base_de_dados!F690</f>
        <v>1.1540669113697038E-2</v>
      </c>
      <c r="C690" s="9">
        <f>Base_de_dados!G690/Base_de_dados!H690</f>
        <v>3.6190110333929527E-2</v>
      </c>
      <c r="D690" s="9">
        <f>Base_de_dados!I690*300</f>
        <v>90000</v>
      </c>
      <c r="E690" s="10">
        <f>Base_de_dados!H690/Base_de_dados!I690</f>
        <v>520.39999766666665</v>
      </c>
      <c r="F690" s="11">
        <f>(D690-Base_de_dados!H690)/Base_de_dados!H690</f>
        <v>-0.42352036636218454</v>
      </c>
    </row>
    <row r="691" spans="1:6">
      <c r="A691" s="6" t="str">
        <f>Base_de_dados!A691</f>
        <v>Ad_21</v>
      </c>
      <c r="B691" s="8">
        <f>Base_de_dados!G691/Base_de_dados!F691</f>
        <v>1.1800156443311198E-2</v>
      </c>
      <c r="C691" s="9">
        <f>Base_de_dados!G691/Base_de_dados!H691</f>
        <v>3.3642007013675215E-2</v>
      </c>
      <c r="D691" s="9">
        <f>Base_de_dados!I691*300</f>
        <v>105000</v>
      </c>
      <c r="E691" s="10">
        <f>Base_de_dados!H691/Base_de_dados!I691</f>
        <v>823.80000999999993</v>
      </c>
      <c r="F691" s="11">
        <f>(D691-Base_de_dados!H691)/Base_de_dados!H691</f>
        <v>-0.63583394469733012</v>
      </c>
    </row>
    <row r="692" spans="1:6">
      <c r="A692" s="6" t="str">
        <f>Base_de_dados!A692</f>
        <v>Ad_21</v>
      </c>
      <c r="B692" s="8">
        <f>Base_de_dados!G692/Base_de_dados!F692</f>
        <v>1.5561947282562032E-2</v>
      </c>
      <c r="C692" s="9">
        <f>Base_de_dados!G692/Base_de_dados!H692</f>
        <v>3.5917760499869639E-2</v>
      </c>
      <c r="D692" s="9">
        <f>Base_de_dados!I692*300</f>
        <v>45000</v>
      </c>
      <c r="E692" s="10">
        <f>Base_de_dados!H692/Base_de_dados!I692</f>
        <v>269.13333493333334</v>
      </c>
      <c r="F692" s="11">
        <f>(D692-Base_de_dados!H692)/Base_de_dados!H692</f>
        <v>0.11468911896147164</v>
      </c>
    </row>
    <row r="693" spans="1:6">
      <c r="A693" s="6" t="str">
        <f>Base_de_dados!A693</f>
        <v>Ad_21</v>
      </c>
      <c r="B693" s="8">
        <f>Base_de_dados!G693/Base_de_dados!F693</f>
        <v>1.3762730525736306E-2</v>
      </c>
      <c r="C693" s="9">
        <f>Base_de_dados!G693/Base_de_dados!H693</f>
        <v>3.3713693208353421E-2</v>
      </c>
      <c r="D693" s="9">
        <f>Base_de_dados!I693*300</f>
        <v>75000</v>
      </c>
      <c r="E693" s="10">
        <f>Base_de_dados!H693/Base_de_dados!I693</f>
        <v>77.119999399999998</v>
      </c>
      <c r="F693" s="11">
        <f>(D693-Base_de_dados!H693)/Base_de_dados!H693</f>
        <v>2.8900415240407793</v>
      </c>
    </row>
    <row r="694" spans="1:6">
      <c r="A694" s="6" t="str">
        <f>Base_de_dados!A694</f>
        <v>Ad_21</v>
      </c>
      <c r="B694" s="8">
        <f>Base_de_dados!G694/Base_de_dados!F694</f>
        <v>1.3006297215568537E-2</v>
      </c>
      <c r="C694" s="9">
        <f>Base_de_dados!G694/Base_de_dados!H694</f>
        <v>3.5263003077007041E-2</v>
      </c>
      <c r="D694" s="9">
        <f>Base_de_dados!I694*300</f>
        <v>45000</v>
      </c>
      <c r="E694" s="10">
        <f>Base_de_dados!H694/Base_de_dados!I694</f>
        <v>226.86666766666667</v>
      </c>
      <c r="F694" s="11">
        <f>(D694-Base_de_dados!H694)/Base_de_dados!H694</f>
        <v>0.32236261538776395</v>
      </c>
    </row>
    <row r="695" spans="1:6">
      <c r="A695" s="6" t="str">
        <f>Base_de_dados!A695</f>
        <v>Ad_21</v>
      </c>
      <c r="B695" s="8">
        <f>Base_de_dados!G695/Base_de_dados!F695</f>
        <v>1.2875378597442092E-2</v>
      </c>
      <c r="C695" s="9">
        <f>Base_de_dados!G695/Base_de_dados!H695</f>
        <v>3.5389282007713428E-2</v>
      </c>
      <c r="D695" s="9">
        <f>Base_de_dados!I695*300</f>
        <v>15000</v>
      </c>
      <c r="E695" s="10">
        <f>Base_de_dados!H695/Base_de_dados!I695</f>
        <v>593.4000016</v>
      </c>
      <c r="F695" s="11">
        <f>(D695-Base_de_dados!H695)/Base_de_dados!H695</f>
        <v>-0.49443882846123677</v>
      </c>
    </row>
    <row r="696" spans="1:6">
      <c r="A696" s="6" t="str">
        <f>Base_de_dados!A696</f>
        <v>Ad_21</v>
      </c>
      <c r="B696" s="8">
        <f>Base_de_dados!G696/Base_de_dados!F696</f>
        <v>1.1344540794259662E-2</v>
      </c>
      <c r="C696" s="9">
        <f>Base_de_dados!G696/Base_de_dados!H696</f>
        <v>3.3479808100594963E-2</v>
      </c>
      <c r="D696" s="9">
        <f>Base_de_dados!I696*300</f>
        <v>45000</v>
      </c>
      <c r="E696" s="10">
        <f>Base_de_dados!H696/Base_de_dados!I696</f>
        <v>318.59999419999997</v>
      </c>
      <c r="F696" s="11">
        <f>(D696-Base_de_dados!H696)/Base_de_dados!H696</f>
        <v>-5.8380397170766735E-2</v>
      </c>
    </row>
    <row r="697" spans="1:6">
      <c r="A697" s="6" t="str">
        <f>Base_de_dados!A697</f>
        <v>Ad_21</v>
      </c>
      <c r="B697" s="8">
        <f>Base_de_dados!G697/Base_de_dados!F697</f>
        <v>1.2363028597719568E-2</v>
      </c>
      <c r="C697" s="9">
        <f>Base_de_dados!G697/Base_de_dados!H697</f>
        <v>3.5378414593698844E-2</v>
      </c>
      <c r="D697" s="9">
        <f>Base_de_dados!I697*300</f>
        <v>15000</v>
      </c>
      <c r="E697" s="10">
        <f>Base_de_dados!H697/Base_de_dados!I697</f>
        <v>2233.0000060000002</v>
      </c>
      <c r="F697" s="11">
        <f>(D697-Base_de_dados!H697)/Base_de_dados!H697</f>
        <v>-0.86565159015051074</v>
      </c>
    </row>
    <row r="698" spans="1:6">
      <c r="A698" s="6" t="str">
        <f>Base_de_dados!A698</f>
        <v>Ad_21</v>
      </c>
      <c r="B698" s="8">
        <f>Base_de_dados!G698/Base_de_dados!F698</f>
        <v>1.3060034918409151E-2</v>
      </c>
      <c r="C698" s="9">
        <f>Base_de_dados!G698/Base_de_dados!H698</f>
        <v>3.9046444461675663E-2</v>
      </c>
      <c r="D698" s="9">
        <f>Base_de_dados!I698*300</f>
        <v>15000</v>
      </c>
      <c r="E698" s="10">
        <f>Base_de_dados!H698/Base_de_dados!I698</f>
        <v>486.6000032</v>
      </c>
      <c r="F698" s="11">
        <f>(D698-Base_de_dados!H698)/Base_de_dados!H698</f>
        <v>-0.38347719271038427</v>
      </c>
    </row>
    <row r="699" spans="1:6">
      <c r="A699" s="6" t="str">
        <f>Base_de_dados!A699</f>
        <v>Ad_21</v>
      </c>
      <c r="B699" s="8">
        <f>Base_de_dados!G699/Base_de_dados!F699</f>
        <v>1.1298602823144226E-2</v>
      </c>
      <c r="C699" s="9">
        <f>Base_de_dados!G699/Base_de_dados!H699</f>
        <v>3.5807118947740572E-2</v>
      </c>
      <c r="D699" s="9">
        <f>Base_de_dados!I699*300</f>
        <v>45000</v>
      </c>
      <c r="E699" s="10">
        <f>Base_de_dados!H699/Base_de_dados!I699</f>
        <v>1256.7333346666667</v>
      </c>
      <c r="F699" s="11">
        <f>(D699-Base_de_dados!H699)/Base_de_dados!H699</f>
        <v>-0.76128587368172951</v>
      </c>
    </row>
    <row r="700" spans="1:6">
      <c r="A700" s="6" t="str">
        <f>Base_de_dados!A700</f>
        <v>Ad_21</v>
      </c>
      <c r="B700" s="8">
        <f>Base_de_dados!G700/Base_de_dados!F700</f>
        <v>1.0630973594686538E-2</v>
      </c>
      <c r="C700" s="9">
        <f>Base_de_dados!G700/Base_de_dados!H700</f>
        <v>3.168376551682317E-2</v>
      </c>
      <c r="D700" s="9">
        <f>Base_de_dados!I700*300</f>
        <v>15000</v>
      </c>
      <c r="E700" s="10">
        <f>Base_de_dados!H700/Base_de_dados!I700</f>
        <v>662.80000680000001</v>
      </c>
      <c r="F700" s="11">
        <f>(D700-Base_de_dados!H700)/Base_de_dados!H700</f>
        <v>-0.5473747783310976</v>
      </c>
    </row>
    <row r="701" spans="1:6">
      <c r="A701" s="6" t="str">
        <f>Base_de_dados!A701</f>
        <v>Ad_21</v>
      </c>
      <c r="B701" s="8">
        <f>Base_de_dados!G701/Base_de_dados!F701</f>
        <v>1.1838420004042387E-2</v>
      </c>
      <c r="C701" s="9">
        <f>Base_de_dados!G701/Base_de_dados!H701</f>
        <v>3.4252297261393526E-2</v>
      </c>
      <c r="D701" s="9">
        <f>Base_de_dados!I701*300</f>
        <v>60000</v>
      </c>
      <c r="E701" s="10">
        <f>Base_de_dados!H701/Base_de_dados!I701</f>
        <v>299.25000130000001</v>
      </c>
      <c r="F701" s="11">
        <f>(D701-Base_de_dados!H701)/Base_de_dados!H701</f>
        <v>2.5062613090788863E-3</v>
      </c>
    </row>
    <row r="702" spans="1:6">
      <c r="A702" s="6" t="str">
        <f>Base_de_dados!A702</f>
        <v>Ad_21</v>
      </c>
      <c r="B702" s="8">
        <f>Base_de_dados!G702/Base_de_dados!F702</f>
        <v>1.1643946043745409E-2</v>
      </c>
      <c r="C702" s="9">
        <f>Base_de_dados!G702/Base_de_dados!H702</f>
        <v>3.0791094764044159E-2</v>
      </c>
      <c r="D702" s="9">
        <f>Base_de_dados!I702*300</f>
        <v>30000</v>
      </c>
      <c r="E702" s="10">
        <f>Base_de_dados!H702/Base_de_dados!I702</f>
        <v>211.09999660000003</v>
      </c>
      <c r="F702" s="11">
        <f>(D702-Base_de_dados!H702)/Base_de_dados!H702</f>
        <v>0.4211274506481919</v>
      </c>
    </row>
    <row r="703" spans="1:6">
      <c r="A703" s="6" t="str">
        <f>Base_de_dados!A703</f>
        <v>Ad_21</v>
      </c>
      <c r="B703" s="8">
        <f>Base_de_dados!G703/Base_de_dados!F703</f>
        <v>1.1819233269453191E-2</v>
      </c>
      <c r="C703" s="9">
        <f>Base_de_dados!G703/Base_de_dados!H703</f>
        <v>3.6505866424155479E-2</v>
      </c>
      <c r="D703" s="9">
        <f>Base_de_dados!I703*300</f>
        <v>135000</v>
      </c>
      <c r="E703" s="10">
        <f>Base_de_dados!H703/Base_de_dados!I703</f>
        <v>85.222223600000007</v>
      </c>
      <c r="F703" s="11">
        <f>(D703-Base_de_dados!H703)/Base_de_dados!H703</f>
        <v>2.5202085480435641</v>
      </c>
    </row>
    <row r="704" spans="1:6">
      <c r="A704" s="6" t="str">
        <f>Base_de_dados!A704</f>
        <v>Ad_21</v>
      </c>
      <c r="B704" s="8">
        <f>Base_de_dados!G704/Base_de_dados!F704</f>
        <v>1.4780178437063312E-2</v>
      </c>
      <c r="C704" s="9">
        <f>Base_de_dados!G704/Base_de_dados!H704</f>
        <v>3.5667963371259721E-2</v>
      </c>
      <c r="D704" s="9">
        <f>Base_de_dados!I704*300</f>
        <v>60000</v>
      </c>
      <c r="E704" s="10">
        <f>Base_de_dados!H704/Base_de_dados!I704</f>
        <v>154.20000135000001</v>
      </c>
      <c r="F704" s="11">
        <f>(D704-Base_de_dados!H704)/Base_de_dados!H704</f>
        <v>0.94552527479598492</v>
      </c>
    </row>
    <row r="705" spans="1:6">
      <c r="A705" s="6" t="str">
        <f>Base_de_dados!A705</f>
        <v>Ad_21</v>
      </c>
      <c r="B705" s="8">
        <f>Base_de_dados!G705/Base_de_dados!F705</f>
        <v>1.2518516973022595E-2</v>
      </c>
      <c r="C705" s="9">
        <f>Base_de_dados!G705/Base_de_dados!H705</f>
        <v>4.1124057827358826E-2</v>
      </c>
      <c r="D705" s="9">
        <f>Base_de_dados!I705*300</f>
        <v>0</v>
      </c>
      <c r="E705" s="10" t="e">
        <f>Base_de_dados!H705/Base_de_dados!I705</f>
        <v>#DIV/0!</v>
      </c>
      <c r="F705" s="11">
        <f>(D705-Base_de_dados!H705)/Base_de_dados!H705</f>
        <v>-1</v>
      </c>
    </row>
    <row r="706" spans="1:6">
      <c r="A706" s="6" t="str">
        <f>Base_de_dados!A706</f>
        <v>Ad_21</v>
      </c>
      <c r="B706" s="8">
        <f>Base_de_dados!G706/Base_de_dados!F706</f>
        <v>1.4705521923482267E-2</v>
      </c>
      <c r="C706" s="9">
        <f>Base_de_dados!G706/Base_de_dados!H706</f>
        <v>3.7688442873917337E-2</v>
      </c>
      <c r="D706" s="9">
        <f>Base_de_dados!I706*300</f>
        <v>75000</v>
      </c>
      <c r="E706" s="10">
        <f>Base_de_dados!H706/Base_de_dados!I706</f>
        <v>63.679998879999999</v>
      </c>
      <c r="F706" s="11">
        <f>(D706-Base_de_dados!H706)/Base_de_dados!H706</f>
        <v>3.7110553592396673</v>
      </c>
    </row>
    <row r="707" spans="1:6">
      <c r="A707" s="6" t="str">
        <f>Base_de_dados!A707</f>
        <v>Ad_21</v>
      </c>
      <c r="B707" s="8">
        <f>Base_de_dados!G707/Base_de_dados!F707</f>
        <v>1.2875471469469985E-2</v>
      </c>
      <c r="C707" s="9">
        <f>Base_de_dados!G707/Base_de_dados!H707</f>
        <v>3.5094962623276452E-2</v>
      </c>
      <c r="D707" s="9">
        <f>Base_de_dados!I707*300</f>
        <v>30000</v>
      </c>
      <c r="E707" s="10">
        <f>Base_de_dados!H707/Base_de_dados!I707</f>
        <v>242.20000149999998</v>
      </c>
      <c r="F707" s="11">
        <f>(D707-Base_de_dados!H707)/Base_de_dados!H707</f>
        <v>0.23864573964505117</v>
      </c>
    </row>
    <row r="708" spans="1:6">
      <c r="A708" s="6" t="str">
        <f>Base_de_dados!A708</f>
        <v>Ad_21</v>
      </c>
      <c r="B708" s="8">
        <f>Base_de_dados!G708/Base_de_dados!F708</f>
        <v>9.9491395193007318E-3</v>
      </c>
      <c r="C708" s="9">
        <f>Base_de_dados!G708/Base_de_dados!H708</f>
        <v>3.3637285041917785E-2</v>
      </c>
      <c r="D708" s="9">
        <f>Base_de_dados!I708*300</f>
        <v>405000</v>
      </c>
      <c r="E708" s="10">
        <f>Base_de_dados!H708/Base_de_dados!I708</f>
        <v>182.77777592592594</v>
      </c>
      <c r="F708" s="11">
        <f>(D708-Base_de_dados!H708)/Base_de_dados!H708</f>
        <v>0.64133740264779537</v>
      </c>
    </row>
    <row r="709" spans="1:6">
      <c r="A709" s="6" t="str">
        <f>Base_de_dados!A709</f>
        <v>Ad_21</v>
      </c>
      <c r="B709" s="8">
        <f>Base_de_dados!G709/Base_de_dados!F709</f>
        <v>1.0909947000625886E-2</v>
      </c>
      <c r="C709" s="9">
        <f>Base_de_dados!G709/Base_de_dados!H709</f>
        <v>3.4051705618839863E-2</v>
      </c>
      <c r="D709" s="9">
        <f>Base_de_dados!I709*300</f>
        <v>540000</v>
      </c>
      <c r="E709" s="10">
        <f>Base_de_dados!H709/Base_de_dados!I709</f>
        <v>123.99444155555555</v>
      </c>
      <c r="F709" s="11">
        <f>(D709-Base_de_dados!H709)/Base_de_dados!H709</f>
        <v>1.419463293970201</v>
      </c>
    </row>
    <row r="710" spans="1:6">
      <c r="A710" s="6" t="str">
        <f>Base_de_dados!A710</f>
        <v>Ad_21</v>
      </c>
      <c r="B710" s="8">
        <f>Base_de_dados!G710/Base_de_dados!F710</f>
        <v>7.2874567686809395E-3</v>
      </c>
      <c r="C710" s="9">
        <f>Base_de_dados!G710/Base_de_dados!H710</f>
        <v>3.5497707870257661E-2</v>
      </c>
      <c r="D710" s="9">
        <f>Base_de_dados!I710*300</f>
        <v>30000</v>
      </c>
      <c r="E710" s="10">
        <f>Base_de_dados!H710/Base_de_dados!I710</f>
        <v>676.0999918</v>
      </c>
      <c r="F710" s="11">
        <f>(D710-Base_de_dados!H710)/Base_de_dados!H710</f>
        <v>-0.55627865162177925</v>
      </c>
    </row>
    <row r="711" spans="1:6">
      <c r="A711" s="6" t="str">
        <f>Base_de_dados!A711</f>
        <v>Ad_21</v>
      </c>
      <c r="B711" s="8">
        <f>Base_de_dados!G711/Base_de_dados!F711</f>
        <v>1.0047447275571875E-2</v>
      </c>
      <c r="C711" s="9">
        <f>Base_de_dados!G711/Base_de_dados!H711</f>
        <v>3.5109717659221121E-2</v>
      </c>
      <c r="D711" s="9">
        <f>Base_de_dados!I711*300</f>
        <v>90000</v>
      </c>
      <c r="E711" s="10">
        <f>Base_de_dados!H711/Base_de_dados!I711</f>
        <v>1063.3333396666667</v>
      </c>
      <c r="F711" s="11">
        <f>(D711-Base_de_dados!H711)/Base_de_dados!H711</f>
        <v>-0.71786834023840174</v>
      </c>
    </row>
    <row r="712" spans="1:6">
      <c r="A712" s="6" t="str">
        <f>Base_de_dados!A712</f>
        <v>Ad_21</v>
      </c>
      <c r="B712" s="8">
        <f>Base_de_dados!G712/Base_de_dados!F712</f>
        <v>1.0848583698693681E-2</v>
      </c>
      <c r="C712" s="9">
        <f>Base_de_dados!G712/Base_de_dados!H712</f>
        <v>3.4969251652179595E-2</v>
      </c>
      <c r="D712" s="9">
        <f>Base_de_dados!I712*300</f>
        <v>105000</v>
      </c>
      <c r="E712" s="10">
        <f>Base_de_dados!H712/Base_de_dados!I712</f>
        <v>236.94285391428573</v>
      </c>
      <c r="F712" s="11">
        <f>(D712-Base_de_dados!H712)/Base_de_dados!H712</f>
        <v>0.26612807706167507</v>
      </c>
    </row>
    <row r="713" spans="1:6">
      <c r="A713" s="6" t="str">
        <f>Base_de_dados!A713</f>
        <v>Ad_21</v>
      </c>
      <c r="B713" s="8">
        <f>Base_de_dados!G713/Base_de_dados!F713</f>
        <v>8.3104068162831481E-3</v>
      </c>
      <c r="C713" s="9">
        <f>Base_de_dados!G713/Base_de_dados!H713</f>
        <v>3.3333333333333333E-2</v>
      </c>
      <c r="D713" s="9">
        <f>Base_de_dados!I713*300</f>
        <v>45000</v>
      </c>
      <c r="E713" s="10">
        <f>Base_de_dados!H713/Base_de_dados!I713</f>
        <v>380</v>
      </c>
      <c r="F713" s="11">
        <f>(D713-Base_de_dados!H713)/Base_de_dados!H713</f>
        <v>-0.21052631578947367</v>
      </c>
    </row>
    <row r="714" spans="1:6">
      <c r="A714" s="6" t="str">
        <f>Base_de_dados!A714</f>
        <v>Ad_21</v>
      </c>
      <c r="B714" s="8">
        <f>Base_de_dados!G714/Base_de_dados!F714</f>
        <v>1.0483424321544426E-2</v>
      </c>
      <c r="C714" s="9">
        <f>Base_de_dados!G714/Base_de_dados!H714</f>
        <v>3.4104070746822777E-2</v>
      </c>
      <c r="D714" s="9">
        <f>Base_de_dados!I714*300</f>
        <v>270000</v>
      </c>
      <c r="E714" s="10">
        <f>Base_de_dados!H714/Base_de_dados!I714</f>
        <v>259.01111333333336</v>
      </c>
      <c r="F714" s="11">
        <f>(D714-Base_de_dados!H714)/Base_de_dados!H714</f>
        <v>0.15825145932605669</v>
      </c>
    </row>
    <row r="715" spans="1:6">
      <c r="A715" s="6" t="str">
        <f>Base_de_dados!A715</f>
        <v>Ad_21</v>
      </c>
      <c r="B715" s="8">
        <f>Base_de_dados!G715/Base_de_dados!F715</f>
        <v>8.4896898699197178E-3</v>
      </c>
      <c r="C715" s="9">
        <f>Base_de_dados!G715/Base_de_dados!H715</f>
        <v>3.4208835137799792E-2</v>
      </c>
      <c r="D715" s="9">
        <f>Base_de_dados!I715*300</f>
        <v>75000</v>
      </c>
      <c r="E715" s="10">
        <f>Base_de_dados!H715/Base_de_dados!I715</f>
        <v>871.11998640000002</v>
      </c>
      <c r="F715" s="11">
        <f>(D715-Base_de_dados!H715)/Base_de_dados!H715</f>
        <v>-0.65561575364631075</v>
      </c>
    </row>
    <row r="716" spans="1:6">
      <c r="A716" s="6" t="str">
        <f>Base_de_dados!A716</f>
        <v>Ad_21</v>
      </c>
      <c r="B716" s="8">
        <f>Base_de_dados!G716/Base_de_dados!F716</f>
        <v>8.2143178137979913E-3</v>
      </c>
      <c r="C716" s="9">
        <f>Base_de_dados!G716/Base_de_dados!H716</f>
        <v>3.4513711864522525E-2</v>
      </c>
      <c r="D716" s="9">
        <f>Base_de_dados!I716*300</f>
        <v>135000</v>
      </c>
      <c r="E716" s="10">
        <f>Base_de_dados!H716/Base_de_dados!I716</f>
        <v>717.91112688888882</v>
      </c>
      <c r="F716" s="11">
        <f>(D716-Base_de_dados!H716)/Base_de_dados!H716</f>
        <v>-0.58212097742506363</v>
      </c>
    </row>
    <row r="717" spans="1:6">
      <c r="A717" s="6" t="str">
        <f>Base_de_dados!A717</f>
        <v>Ad_21</v>
      </c>
      <c r="B717" s="8">
        <f>Base_de_dados!G717/Base_de_dados!F717</f>
        <v>1.088352840422495E-2</v>
      </c>
      <c r="C717" s="9">
        <f>Base_de_dados!G717/Base_de_dados!H717</f>
        <v>3.4663029227936251E-2</v>
      </c>
      <c r="D717" s="9">
        <f>Base_de_dados!I717*300</f>
        <v>60000</v>
      </c>
      <c r="E717" s="10">
        <f>Base_de_dados!H717/Base_de_dados!I717</f>
        <v>439.9500084</v>
      </c>
      <c r="F717" s="11">
        <f>(D717-Base_de_dados!H717)/Base_de_dados!H717</f>
        <v>-0.31810434305699176</v>
      </c>
    </row>
    <row r="718" spans="1:6">
      <c r="A718" s="6" t="str">
        <f>Base_de_dados!A718</f>
        <v>Ad_21</v>
      </c>
      <c r="B718" s="8">
        <f>Base_de_dados!G718/Base_de_dados!F718</f>
        <v>8.9302298998385418E-3</v>
      </c>
      <c r="C718" s="9">
        <f>Base_de_dados!G718/Base_de_dados!H718</f>
        <v>3.5561877397349437E-2</v>
      </c>
      <c r="D718" s="9">
        <f>Base_de_dados!I718*300</f>
        <v>45000</v>
      </c>
      <c r="E718" s="10">
        <f>Base_de_dados!H718/Base_de_dados!I718</f>
        <v>703.00000533333332</v>
      </c>
      <c r="F718" s="11">
        <f>(D718-Base_de_dados!H718)/Base_de_dados!H718</f>
        <v>-0.5732574712318067</v>
      </c>
    </row>
    <row r="719" spans="1:6">
      <c r="A719" s="6" t="str">
        <f>Base_de_dados!A719</f>
        <v>Ad_21</v>
      </c>
      <c r="B719" s="8">
        <f>Base_de_dados!G719/Base_de_dados!F719</f>
        <v>1.0298405608288356E-2</v>
      </c>
      <c r="C719" s="9">
        <f>Base_de_dados!G719/Base_de_dados!H719</f>
        <v>3.4325889817614114E-2</v>
      </c>
      <c r="D719" s="9">
        <f>Base_de_dados!I719*300</f>
        <v>0</v>
      </c>
      <c r="E719" s="10" t="e">
        <f>Base_de_dados!H719/Base_de_dados!I719</f>
        <v>#DIV/0!</v>
      </c>
      <c r="F719" s="11">
        <f>(D719-Base_de_dados!H719)/Base_de_dados!H719</f>
        <v>-1</v>
      </c>
    </row>
    <row r="720" spans="1:6">
      <c r="A720" s="6" t="str">
        <f>Base_de_dados!A720</f>
        <v>Ad_21</v>
      </c>
      <c r="B720" s="8">
        <f>Base_de_dados!G720/Base_de_dados!F720</f>
        <v>9.2736246687206356E-3</v>
      </c>
      <c r="C720" s="9">
        <f>Base_de_dados!G720/Base_de_dados!H720</f>
        <v>3.5044012715612721E-2</v>
      </c>
      <c r="D720" s="9">
        <f>Base_de_dados!I720*300</f>
        <v>570000</v>
      </c>
      <c r="E720" s="10">
        <f>Base_de_dados!H720/Base_de_dados!I720</f>
        <v>158.44736800000001</v>
      </c>
      <c r="F720" s="11">
        <f>(D720-Base_de_dados!H720)/Base_de_dados!H720</f>
        <v>0.89337319885300959</v>
      </c>
    </row>
    <row r="721" spans="1:6">
      <c r="A721" s="6" t="str">
        <f>Base_de_dados!A721</f>
        <v>Ad_21</v>
      </c>
      <c r="B721" s="8">
        <f>Base_de_dados!G721/Base_de_dados!F721</f>
        <v>7.992519002213927E-3</v>
      </c>
      <c r="C721" s="9">
        <f>Base_de_dados!G721/Base_de_dados!H721</f>
        <v>3.2092426589090062E-2</v>
      </c>
      <c r="D721" s="9">
        <f>Base_de_dados!I721*300</f>
        <v>45000</v>
      </c>
      <c r="E721" s="10">
        <f>Base_de_dados!H721/Base_de_dados!I721</f>
        <v>415.46666146666666</v>
      </c>
      <c r="F721" s="11">
        <f>(D721-Base_de_dados!H721)/Base_de_dados!H721</f>
        <v>-0.27792040174547356</v>
      </c>
    </row>
    <row r="722" spans="1:6">
      <c r="A722" s="6" t="str">
        <f>Base_de_dados!A722</f>
        <v>Ad_22</v>
      </c>
      <c r="B722" s="8">
        <f>Base_de_dados!G722/Base_de_dados!F722</f>
        <v>7.3199258033015274E-3</v>
      </c>
      <c r="C722" s="9">
        <f>Base_de_dados!G722/Base_de_dados!H722</f>
        <v>2.7852595494613126E-2</v>
      </c>
      <c r="D722" s="9">
        <f>Base_de_dados!I722*300</f>
        <v>225000</v>
      </c>
      <c r="E722" s="10">
        <f>Base_de_dados!H722/Base_de_dados!I722</f>
        <v>217.81333333333333</v>
      </c>
      <c r="F722" s="11">
        <f>(D722-Base_de_dados!H722)/Base_de_dados!H722</f>
        <v>0.37732615083251714</v>
      </c>
    </row>
    <row r="723" spans="1:6">
      <c r="A723" s="6" t="str">
        <f>Base_de_dados!A723</f>
        <v>Ad_22</v>
      </c>
      <c r="B723" s="8">
        <f>Base_de_dados!G723/Base_de_dados!F723</f>
        <v>7.1856574277741631E-3</v>
      </c>
      <c r="C723" s="9">
        <f>Base_de_dados!G723/Base_de_dados!H723</f>
        <v>3.0959752295356253E-2</v>
      </c>
      <c r="D723" s="9">
        <f>Base_de_dados!I723*300</f>
        <v>180000</v>
      </c>
      <c r="E723" s="10">
        <f>Base_de_dados!H723/Base_de_dados!I723</f>
        <v>96.900000083333325</v>
      </c>
      <c r="F723" s="11">
        <f>(D723-Base_de_dados!H723)/Base_de_dados!H723</f>
        <v>2.0959752295356253</v>
      </c>
    </row>
    <row r="724" spans="1:6">
      <c r="A724" s="6" t="str">
        <f>Base_de_dados!A724</f>
        <v>Ad_22</v>
      </c>
      <c r="B724" s="8">
        <f>Base_de_dados!G724/Base_de_dados!F724</f>
        <v>6.8369835228697098E-3</v>
      </c>
      <c r="C724" s="9">
        <f>Base_de_dados!G724/Base_de_dados!H724</f>
        <v>3.0706243791440595E-2</v>
      </c>
      <c r="D724" s="9">
        <f>Base_de_dados!I724*300</f>
        <v>165000</v>
      </c>
      <c r="E724" s="10">
        <f>Base_de_dados!H724/Base_de_dados!I724</f>
        <v>53.290908763636367</v>
      </c>
      <c r="F724" s="11">
        <f>(D724-Base_de_dados!H724)/Base_de_dados!H724</f>
        <v>4.6294780284307757</v>
      </c>
    </row>
    <row r="725" spans="1:6">
      <c r="A725" s="6" t="str">
        <f>Base_de_dados!A725</f>
        <v>Ad_22</v>
      </c>
      <c r="B725" s="8">
        <f>Base_de_dados!G725/Base_de_dados!F725</f>
        <v>7.4383426079044791E-3</v>
      </c>
      <c r="C725" s="9">
        <f>Base_de_dados!G725/Base_de_dados!H725</f>
        <v>2.9654461164361223E-2</v>
      </c>
      <c r="D725" s="9">
        <f>Base_de_dados!I725*300</f>
        <v>195000</v>
      </c>
      <c r="E725" s="10">
        <f>Base_de_dados!H725/Base_de_dados!I725</f>
        <v>178.98461476923077</v>
      </c>
      <c r="F725" s="11">
        <f>(D725-Base_de_dados!H725)/Base_de_dados!H725</f>
        <v>0.67612171798563425</v>
      </c>
    </row>
    <row r="726" spans="1:6">
      <c r="A726" s="6" t="str">
        <f>Base_de_dados!A726</f>
        <v>Ad_22</v>
      </c>
      <c r="B726" s="8">
        <f>Base_de_dados!G726/Base_de_dados!F726</f>
        <v>8.2637993643957745E-3</v>
      </c>
      <c r="C726" s="9">
        <f>Base_de_dados!G726/Base_de_dados!H726</f>
        <v>2.8735632589698589E-2</v>
      </c>
      <c r="D726" s="9">
        <f>Base_de_dados!I726*300</f>
        <v>210000</v>
      </c>
      <c r="E726" s="10">
        <f>Base_de_dados!H726/Base_de_dados!I726</f>
        <v>86.999998771428565</v>
      </c>
      <c r="F726" s="11">
        <f>(D726-Base_de_dados!H726)/Base_de_dados!H726</f>
        <v>2.4482759107638308</v>
      </c>
    </row>
    <row r="727" spans="1:6">
      <c r="A727" s="6" t="str">
        <f>Base_de_dados!A727</f>
        <v>Ad_22</v>
      </c>
      <c r="B727" s="8">
        <f>Base_de_dados!G727/Base_de_dados!F727</f>
        <v>7.9666137601804125E-3</v>
      </c>
      <c r="C727" s="9">
        <f>Base_de_dados!G727/Base_de_dados!H727</f>
        <v>3.2483757366069607E-2</v>
      </c>
      <c r="D727" s="9">
        <f>Base_de_dados!I727*300</f>
        <v>150000</v>
      </c>
      <c r="E727" s="10">
        <f>Base_de_dados!H727/Base_de_dados!I727</f>
        <v>80.040001860000004</v>
      </c>
      <c r="F727" s="11">
        <f>(D727-Base_de_dados!H727)/Base_de_dados!H727</f>
        <v>2.7481258499311081</v>
      </c>
    </row>
    <row r="728" spans="1:6">
      <c r="A728" s="6" t="str">
        <f>Base_de_dados!A728</f>
        <v>Ad_22</v>
      </c>
      <c r="B728" s="8">
        <f>Base_de_dados!G728/Base_de_dados!F728</f>
        <v>6.5778581241022569E-3</v>
      </c>
      <c r="C728" s="9">
        <f>Base_de_dados!G728/Base_de_dados!H728</f>
        <v>2.8261622044905586E-2</v>
      </c>
      <c r="D728" s="9">
        <f>Base_de_dados!I728*300</f>
        <v>315000</v>
      </c>
      <c r="E728" s="10">
        <f>Base_de_dados!H728/Base_de_dados!I728</f>
        <v>247.68571276190474</v>
      </c>
      <c r="F728" s="11">
        <f>(D728-Base_de_dados!H728)/Base_de_dados!H728</f>
        <v>0.21121237335309653</v>
      </c>
    </row>
    <row r="729" spans="1:6">
      <c r="A729" s="6" t="str">
        <f>Base_de_dados!A729</f>
        <v>Ad_22</v>
      </c>
      <c r="B729" s="8">
        <f>Base_de_dados!G729/Base_de_dados!F729</f>
        <v>6.1619257911762421E-3</v>
      </c>
      <c r="C729" s="9">
        <f>Base_de_dados!G729/Base_de_dados!H729</f>
        <v>2.8514201455333073E-2</v>
      </c>
      <c r="D729" s="9">
        <f>Base_de_dados!I729*300</f>
        <v>465000</v>
      </c>
      <c r="E729" s="10">
        <f>Base_de_dados!H729/Base_de_dados!I729</f>
        <v>231.9161290967742</v>
      </c>
      <c r="F729" s="11">
        <f>(D729-Base_de_dados!H729)/Base_de_dados!H729</f>
        <v>0.2935710904126711</v>
      </c>
    </row>
    <row r="730" spans="1:6">
      <c r="A730" s="6" t="str">
        <f>Base_de_dados!A730</f>
        <v>Ad_22</v>
      </c>
      <c r="B730" s="8">
        <f>Base_de_dados!G730/Base_de_dados!F730</f>
        <v>5.9308333040452681E-3</v>
      </c>
      <c r="C730" s="9">
        <f>Base_de_dados!G730/Base_de_dados!H730</f>
        <v>2.5541576106485955E-2</v>
      </c>
      <c r="D730" s="9">
        <f>Base_de_dados!I730*300</f>
        <v>225000</v>
      </c>
      <c r="E730" s="10">
        <f>Base_de_dados!H730/Base_de_dados!I730</f>
        <v>140.94666613333334</v>
      </c>
      <c r="F730" s="11">
        <f>(D730-Base_de_dados!H730)/Base_de_dados!H730</f>
        <v>1.1284646755404961</v>
      </c>
    </row>
    <row r="731" spans="1:6">
      <c r="A731" s="6" t="str">
        <f>Base_de_dados!A731</f>
        <v>Ad_22</v>
      </c>
      <c r="B731" s="8">
        <f>Base_de_dados!G731/Base_de_dados!F731</f>
        <v>3.968831443728585E-3</v>
      </c>
      <c r="C731" s="9">
        <f>Base_de_dados!G731/Base_de_dados!H731</f>
        <v>2.8142588880597275E-2</v>
      </c>
      <c r="D731" s="9">
        <f>Base_de_dados!I731*300</f>
        <v>150000</v>
      </c>
      <c r="E731" s="10">
        <f>Base_de_dados!H731/Base_de_dados!I731</f>
        <v>21.320000180000001</v>
      </c>
      <c r="F731" s="11">
        <f>(D731-Base_de_dados!H731)/Base_de_dados!H731</f>
        <v>13.07129444029864</v>
      </c>
    </row>
    <row r="732" spans="1:6">
      <c r="A732" s="6" t="str">
        <f>Base_de_dados!A732</f>
        <v>Ad_22</v>
      </c>
      <c r="B732" s="8">
        <f>Base_de_dados!G732/Base_de_dados!F732</f>
        <v>6.8992557217546994E-3</v>
      </c>
      <c r="C732" s="9">
        <f>Base_de_dados!G732/Base_de_dados!H732</f>
        <v>2.8611304774946448E-2</v>
      </c>
      <c r="D732" s="9">
        <f>Base_de_dados!I732*300</f>
        <v>195000</v>
      </c>
      <c r="E732" s="10">
        <f>Base_de_dados!H732/Base_de_dados!I732</f>
        <v>220.46153984615381</v>
      </c>
      <c r="F732" s="11">
        <f>(D732-Base_de_dados!H732)/Base_de_dados!H732</f>
        <v>0.36078156856452626</v>
      </c>
    </row>
    <row r="733" spans="1:6">
      <c r="A733" s="6" t="str">
        <f>Base_de_dados!A733</f>
        <v>Ad_22</v>
      </c>
      <c r="B733" s="8">
        <f>Base_de_dados!G733/Base_de_dados!F733</f>
        <v>5.5506040643108845E-3</v>
      </c>
      <c r="C733" s="9">
        <f>Base_de_dados!G733/Base_de_dados!H733</f>
        <v>2.6910657224197443E-2</v>
      </c>
      <c r="D733" s="9">
        <f>Base_de_dados!I733*300</f>
        <v>135000</v>
      </c>
      <c r="E733" s="10">
        <f>Base_de_dados!H733/Base_de_dados!I733</f>
        <v>144.51110786666666</v>
      </c>
      <c r="F733" s="11">
        <f>(D733-Base_de_dados!H733)/Base_de_dados!H733</f>
        <v>1.0759649858666598</v>
      </c>
    </row>
    <row r="734" spans="1:6">
      <c r="A734" s="6" t="str">
        <f>Base_de_dados!A734</f>
        <v>Ad_22</v>
      </c>
      <c r="B734" s="8">
        <f>Base_de_dados!G734/Base_de_dados!F734</f>
        <v>9.767344602923049E-3</v>
      </c>
      <c r="C734" s="9">
        <f>Base_de_dados!G734/Base_de_dados!H734</f>
        <v>3.0197346113126945E-2</v>
      </c>
      <c r="D734" s="9">
        <f>Base_de_dados!I734*300</f>
        <v>240000</v>
      </c>
      <c r="E734" s="10">
        <f>Base_de_dados!H734/Base_de_dados!I734</f>
        <v>146.949999625</v>
      </c>
      <c r="F734" s="11">
        <f>(D734-Base_de_dados!H734)/Base_de_dados!H734</f>
        <v>1.0415107231409766</v>
      </c>
    </row>
    <row r="735" spans="1:6">
      <c r="A735" s="6" t="str">
        <f>Base_de_dados!A735</f>
        <v>Ad_22</v>
      </c>
      <c r="B735" s="8">
        <f>Base_de_dados!G735/Base_de_dados!F735</f>
        <v>9.2258697945022932E-3</v>
      </c>
      <c r="C735" s="9">
        <f>Base_de_dados!G735/Base_de_dados!H735</f>
        <v>2.8236770530407327E-2</v>
      </c>
      <c r="D735" s="9">
        <f>Base_de_dados!I735*300</f>
        <v>180000</v>
      </c>
      <c r="E735" s="10">
        <f>Base_de_dados!H735/Base_de_dados!I735</f>
        <v>239.05000016666668</v>
      </c>
      <c r="F735" s="11">
        <f>(D735-Base_de_dados!H735)/Base_de_dados!H735</f>
        <v>0.25496757912921453</v>
      </c>
    </row>
    <row r="736" spans="1:6">
      <c r="A736" s="6" t="str">
        <f>Base_de_dados!A736</f>
        <v>Ad_22</v>
      </c>
      <c r="B736" s="8">
        <f>Base_de_dados!G736/Base_de_dados!F736</f>
        <v>5.8736461245682868E-3</v>
      </c>
      <c r="C736" s="9">
        <f>Base_de_dados!G736/Base_de_dados!H736</f>
        <v>2.5879917594164328E-2</v>
      </c>
      <c r="D736" s="9">
        <f>Base_de_dados!I736*300</f>
        <v>150000</v>
      </c>
      <c r="E736" s="10">
        <f>Base_de_dados!H736/Base_de_dados!I736</f>
        <v>19.319999694</v>
      </c>
      <c r="F736" s="11">
        <f>(D736-Base_de_dados!H736)/Base_de_dados!H736</f>
        <v>14.527950556498597</v>
      </c>
    </row>
    <row r="737" spans="1:6">
      <c r="A737" s="6" t="str">
        <f>Base_de_dados!A737</f>
        <v>Ad_22</v>
      </c>
      <c r="B737" s="8">
        <f>Base_de_dados!G737/Base_de_dados!F737</f>
        <v>9.3976718834187477E-3</v>
      </c>
      <c r="C737" s="9">
        <f>Base_de_dados!G737/Base_de_dados!H737</f>
        <v>3.0048077043461845E-2</v>
      </c>
      <c r="D737" s="9">
        <f>Base_de_dados!I737*300</f>
        <v>255000</v>
      </c>
      <c r="E737" s="10">
        <f>Base_de_dados!H737/Base_de_dados!I737</f>
        <v>146.82352882352941</v>
      </c>
      <c r="F737" s="11">
        <f>(D737-Base_de_dados!H737)/Base_de_dados!H737</f>
        <v>1.0432692389554055</v>
      </c>
    </row>
    <row r="738" spans="1:6">
      <c r="A738" s="6" t="str">
        <f>Base_de_dados!A738</f>
        <v>Ad_22</v>
      </c>
      <c r="B738" s="8">
        <f>Base_de_dados!G738/Base_de_dados!F738</f>
        <v>9.6822896153341206E-3</v>
      </c>
      <c r="C738" s="9">
        <f>Base_de_dados!G738/Base_de_dados!H738</f>
        <v>2.9934043574962269E-2</v>
      </c>
      <c r="D738" s="9">
        <f>Base_de_dados!I738*300</f>
        <v>180000</v>
      </c>
      <c r="E738" s="10">
        <f>Base_de_dados!H738/Base_de_dados!I738</f>
        <v>164.25000031666667</v>
      </c>
      <c r="F738" s="11">
        <f>(D738-Base_de_dados!H738)/Base_de_dados!H738</f>
        <v>0.82648401474346045</v>
      </c>
    </row>
    <row r="739" spans="1:6">
      <c r="A739" s="6" t="str">
        <f>Base_de_dados!A739</f>
        <v>Ad_22</v>
      </c>
      <c r="B739" s="8">
        <f>Base_de_dados!G739/Base_de_dados!F739</f>
        <v>8.1794645651369884E-3</v>
      </c>
      <c r="C739" s="9">
        <f>Base_de_dados!G739/Base_de_dados!H739</f>
        <v>2.8207014809773282E-2</v>
      </c>
      <c r="D739" s="9">
        <f>Base_de_dados!I739*300</f>
        <v>150000</v>
      </c>
      <c r="E739" s="10">
        <f>Base_de_dados!H739/Base_de_dados!I739</f>
        <v>81.54000044</v>
      </c>
      <c r="F739" s="11">
        <f>(D739-Base_de_dados!H739)/Base_de_dados!H739</f>
        <v>2.6791758447530367</v>
      </c>
    </row>
    <row r="740" spans="1:6">
      <c r="A740" s="6" t="str">
        <f>Base_de_dados!A740</f>
        <v>Ad_22</v>
      </c>
      <c r="B740" s="8">
        <f>Base_de_dados!G740/Base_de_dados!F740</f>
        <v>9.0911983563113363E-3</v>
      </c>
      <c r="C740" s="9">
        <f>Base_de_dados!G740/Base_de_dados!H740</f>
        <v>2.9655990532069982E-2</v>
      </c>
      <c r="D740" s="9">
        <f>Base_de_dados!I740*300</f>
        <v>225000</v>
      </c>
      <c r="E740" s="10">
        <f>Base_de_dados!H740/Base_de_dados!I740</f>
        <v>179.83999986666666</v>
      </c>
      <c r="F740" s="11">
        <f>(D740-Base_de_dados!H740)/Base_de_dados!H740</f>
        <v>0.66814946742893655</v>
      </c>
    </row>
    <row r="741" spans="1:6">
      <c r="A741" s="6" t="str">
        <f>Base_de_dados!A741</f>
        <v>Ad_22</v>
      </c>
      <c r="B741" s="8">
        <f>Base_de_dados!G741/Base_de_dados!F741</f>
        <v>7.2556495125522735E-3</v>
      </c>
      <c r="C741" s="9">
        <f>Base_de_dados!G741/Base_de_dados!H741</f>
        <v>2.8409091055832083E-2</v>
      </c>
      <c r="D741" s="9">
        <f>Base_de_dados!I741*300</f>
        <v>180000</v>
      </c>
      <c r="E741" s="10">
        <f>Base_de_dados!H741/Base_de_dados!I741</f>
        <v>32.266666499999999</v>
      </c>
      <c r="F741" s="11">
        <f>(D741-Base_de_dados!H741)/Base_de_dados!H741</f>
        <v>8.2975207091814092</v>
      </c>
    </row>
    <row r="742" spans="1:6">
      <c r="A742" s="6" t="str">
        <f>Base_de_dados!A742</f>
        <v>Ad_22</v>
      </c>
      <c r="B742" s="8">
        <f>Base_de_dados!G742/Base_de_dados!F742</f>
        <v>9.1154141653536132E-3</v>
      </c>
      <c r="C742" s="9">
        <f>Base_de_dados!G742/Base_de_dados!H742</f>
        <v>3.2550569370083715E-2</v>
      </c>
      <c r="D742" s="9">
        <f>Base_de_dados!I742*300</f>
        <v>150000</v>
      </c>
      <c r="E742" s="10">
        <f>Base_de_dados!H742/Base_de_dados!I742</f>
        <v>86.020000699999997</v>
      </c>
      <c r="F742" s="11">
        <f>(D742-Base_de_dados!H742)/Base_de_dados!H742</f>
        <v>2.4875610039375409</v>
      </c>
    </row>
    <row r="743" spans="1:6">
      <c r="A743" s="6" t="str">
        <f>Base_de_dados!A743</f>
        <v>Ad_22</v>
      </c>
      <c r="B743" s="8">
        <f>Base_de_dados!G743/Base_de_dados!F743</f>
        <v>8.5722976522965462E-3</v>
      </c>
      <c r="C743" s="9">
        <f>Base_de_dados!G743/Base_de_dados!H743</f>
        <v>3.6359371539438169E-2</v>
      </c>
      <c r="D743" s="9">
        <f>Base_de_dados!I743*300</f>
        <v>135000</v>
      </c>
      <c r="E743" s="10">
        <f>Base_de_dados!H743/Base_de_dados!I743</f>
        <v>94.733332799999999</v>
      </c>
      <c r="F743" s="11">
        <f>(D743-Base_de_dados!H743)/Base_de_dados!H743</f>
        <v>2.166783972789776</v>
      </c>
    </row>
    <row r="744" spans="1:6">
      <c r="A744" s="6" t="str">
        <f>Base_de_dados!A744</f>
        <v>Ad_22</v>
      </c>
      <c r="B744" s="8">
        <f>Base_de_dados!G744/Base_de_dados!F744</f>
        <v>1.0072323230727301E-2</v>
      </c>
      <c r="C744" s="9">
        <f>Base_de_dados!G744/Base_de_dados!H744</f>
        <v>3.3645599754364645E-2</v>
      </c>
      <c r="D744" s="9">
        <f>Base_de_dados!I744*300</f>
        <v>135000</v>
      </c>
      <c r="E744" s="10">
        <f>Base_de_dados!H744/Base_de_dados!I744</f>
        <v>168.42222186666663</v>
      </c>
      <c r="F744" s="11">
        <f>(D744-Base_de_dados!H744)/Base_de_dados!H744</f>
        <v>0.78123763405459878</v>
      </c>
    </row>
    <row r="745" spans="1:6">
      <c r="A745" s="6" t="str">
        <f>Base_de_dados!A745</f>
        <v>Ad_22</v>
      </c>
      <c r="B745" s="8">
        <f>Base_de_dados!G745/Base_de_dados!F745</f>
        <v>7.2562621542391088E-3</v>
      </c>
      <c r="C745" s="9">
        <f>Base_de_dados!G745/Base_de_dados!H745</f>
        <v>3.242542137066589E-2</v>
      </c>
      <c r="D745" s="9">
        <f>Base_de_dados!I745*300</f>
        <v>150000</v>
      </c>
      <c r="E745" s="10">
        <f>Base_de_dados!H745/Base_de_dados!I745</f>
        <v>15.420000076000001</v>
      </c>
      <c r="F745" s="11">
        <f>(D745-Base_de_dados!H745)/Base_de_dados!H745</f>
        <v>18.455252822399533</v>
      </c>
    </row>
    <row r="746" spans="1:6">
      <c r="A746" s="6" t="str">
        <f>Base_de_dados!A746</f>
        <v>Ad_22</v>
      </c>
      <c r="B746" s="8">
        <f>Base_de_dados!G746/Base_de_dados!F746</f>
        <v>7.7594568380213386E-3</v>
      </c>
      <c r="C746" s="9">
        <f>Base_de_dados!G746/Base_de_dados!H746</f>
        <v>2.8490028814701182E-2</v>
      </c>
      <c r="D746" s="9">
        <f>Base_de_dados!I746*300</f>
        <v>135000</v>
      </c>
      <c r="E746" s="10">
        <f>Base_de_dados!H746/Base_de_dados!I746</f>
        <v>31.199999644444446</v>
      </c>
      <c r="F746" s="11">
        <f>(D746-Base_de_dados!H746)/Base_de_dados!H746</f>
        <v>8.6153847249616486</v>
      </c>
    </row>
    <row r="747" spans="1:6">
      <c r="A747" s="6" t="str">
        <f>Base_de_dados!A747</f>
        <v>Ad_22</v>
      </c>
      <c r="B747" s="8">
        <f>Base_de_dados!G747/Base_de_dados!F747</f>
        <v>1.090730607718737E-2</v>
      </c>
      <c r="C747" s="9">
        <f>Base_de_dados!G747/Base_de_dados!H747</f>
        <v>3.0105369047562103E-2</v>
      </c>
      <c r="D747" s="9">
        <f>Base_de_dados!I747*300</f>
        <v>135000</v>
      </c>
      <c r="E747" s="10">
        <f>Base_de_dados!H747/Base_de_dados!I747</f>
        <v>88.577777022222222</v>
      </c>
      <c r="F747" s="11">
        <f>(D747-Base_de_dados!H747)/Base_de_dados!H747</f>
        <v>2.3868540178507365</v>
      </c>
    </row>
    <row r="748" spans="1:6">
      <c r="A748" s="6" t="str">
        <f>Base_de_dados!A748</f>
        <v>Ad_22</v>
      </c>
      <c r="B748" s="8">
        <f>Base_de_dados!G748/Base_de_dados!F748</f>
        <v>7.6317013606233284E-3</v>
      </c>
      <c r="C748" s="9">
        <f>Base_de_dados!G748/Base_de_dados!H748</f>
        <v>2.854812428313672E-2</v>
      </c>
      <c r="D748" s="9">
        <f>Base_de_dados!I748*300</f>
        <v>135000</v>
      </c>
      <c r="E748" s="10">
        <f>Base_de_dados!H748/Base_de_dados!I748</f>
        <v>81.733332466666667</v>
      </c>
      <c r="F748" s="11">
        <f>(D748-Base_de_dados!H748)/Base_de_dados!H748</f>
        <v>2.6704731221175781</v>
      </c>
    </row>
    <row r="749" spans="1:6">
      <c r="A749" s="6" t="str">
        <f>Base_de_dados!A749</f>
        <v>Ad_22</v>
      </c>
      <c r="B749" s="8">
        <f>Base_de_dados!G749/Base_de_dados!F749</f>
        <v>7.1488144882640298E-3</v>
      </c>
      <c r="C749" s="9">
        <f>Base_de_dados!G749/Base_de_dados!H749</f>
        <v>2.7337343044442339E-2</v>
      </c>
      <c r="D749" s="9">
        <f>Base_de_dados!I749*300</f>
        <v>150000</v>
      </c>
      <c r="E749" s="10">
        <f>Base_de_dados!H749/Base_de_dados!I749</f>
        <v>109.73999906</v>
      </c>
      <c r="F749" s="11">
        <f>(D749-Base_de_dados!H749)/Base_de_dados!H749</f>
        <v>1.7337343044442339</v>
      </c>
    </row>
    <row r="750" spans="1:6">
      <c r="A750" s="6" t="str">
        <f>Base_de_dados!A750</f>
        <v>Ad_22</v>
      </c>
      <c r="B750" s="8">
        <f>Base_de_dados!G750/Base_de_dados!F750</f>
        <v>1.1921793037672867E-2</v>
      </c>
      <c r="C750" s="9">
        <f>Base_de_dados!G750/Base_de_dados!H750</f>
        <v>3.5881080013127148E-2</v>
      </c>
      <c r="D750" s="9">
        <f>Base_de_dados!I750*300</f>
        <v>150000</v>
      </c>
      <c r="E750" s="10">
        <f>Base_de_dados!H750/Base_de_dados!I750</f>
        <v>175.5799992</v>
      </c>
      <c r="F750" s="11">
        <f>(D750-Base_de_dados!H750)/Base_de_dados!H750</f>
        <v>0.7086228577679593</v>
      </c>
    </row>
    <row r="751" spans="1:6">
      <c r="A751" s="6" t="str">
        <f>Base_de_dados!A751</f>
        <v>Ad_22</v>
      </c>
      <c r="B751" s="8">
        <f>Base_de_dados!G751/Base_de_dados!F751</f>
        <v>8.0123069034036282E-3</v>
      </c>
      <c r="C751" s="9">
        <f>Base_de_dados!G751/Base_de_dados!H751</f>
        <v>3.7147102421130021E-2</v>
      </c>
      <c r="D751" s="9">
        <f>Base_de_dados!I751*300</f>
        <v>120000</v>
      </c>
      <c r="E751" s="10">
        <f>Base_de_dados!H751/Base_de_dados!I751</f>
        <v>16.825000047500001</v>
      </c>
      <c r="F751" s="11">
        <f>(D751-Base_de_dados!H751)/Base_de_dados!H751</f>
        <v>16.830609162142412</v>
      </c>
    </row>
    <row r="752" spans="1:6">
      <c r="A752" s="6" t="str">
        <f>Base_de_dados!A752</f>
        <v>Ad_22</v>
      </c>
      <c r="B752" s="8">
        <f>Base_de_dados!G752/Base_de_dados!F752</f>
        <v>9.6841389614650327E-3</v>
      </c>
      <c r="C752" s="9">
        <f>Base_de_dados!G752/Base_de_dados!H752</f>
        <v>3.1884435472168349E-2</v>
      </c>
      <c r="D752" s="9">
        <f>Base_de_dados!I752*300</f>
        <v>180000</v>
      </c>
      <c r="E752" s="10">
        <f>Base_de_dados!H752/Base_de_dados!I752</f>
        <v>128.06666553333335</v>
      </c>
      <c r="F752" s="11">
        <f>(D752-Base_de_dados!H752)/Base_de_dados!H752</f>
        <v>1.3425299530572665</v>
      </c>
    </row>
    <row r="753" spans="1:6">
      <c r="A753" s="6" t="str">
        <f>Base_de_dados!A753</f>
        <v>Ad_22</v>
      </c>
      <c r="B753" s="8">
        <f>Base_de_dados!G753/Base_de_dados!F753</f>
        <v>7.9978672354038931E-3</v>
      </c>
      <c r="C753" s="9">
        <f>Base_de_dados!G753/Base_de_dados!H753</f>
        <v>2.8957529479286242E-2</v>
      </c>
      <c r="D753" s="9">
        <f>Base_de_dados!I753*300</f>
        <v>135000</v>
      </c>
      <c r="E753" s="10">
        <f>Base_de_dados!H753/Base_de_dados!I753</f>
        <v>34.533332711111115</v>
      </c>
      <c r="F753" s="11">
        <f>(D753-Base_de_dados!H753)/Base_de_dados!H753</f>
        <v>7.6872588437858722</v>
      </c>
    </row>
    <row r="754" spans="1:6">
      <c r="A754" s="6" t="str">
        <f>Base_de_dados!A754</f>
        <v>Ad_22</v>
      </c>
      <c r="B754" s="8">
        <f>Base_de_dados!G754/Base_de_dados!F754</f>
        <v>7.1500071500071498E-3</v>
      </c>
      <c r="C754" s="9">
        <f>Base_de_dados!G754/Base_de_dados!H754</f>
        <v>3.1126202462360145E-2</v>
      </c>
      <c r="D754" s="9">
        <f>Base_de_dados!I754*300</f>
        <v>180000</v>
      </c>
      <c r="E754" s="10">
        <f>Base_de_dados!H754/Base_de_dados!I754</f>
        <v>29.450000133333337</v>
      </c>
      <c r="F754" s="11">
        <f>(D754-Base_de_dados!H754)/Base_de_dados!H754</f>
        <v>9.1867571694996837</v>
      </c>
    </row>
    <row r="755" spans="1:6">
      <c r="A755" s="6" t="str">
        <f>Base_de_dados!A755</f>
        <v>Ad_22</v>
      </c>
      <c r="B755" s="8">
        <f>Base_de_dados!G755/Base_de_dados!F755</f>
        <v>7.1656507366288959E-3</v>
      </c>
      <c r="C755" s="9">
        <f>Base_de_dados!G755/Base_de_dados!H755</f>
        <v>3.024193539851067E-2</v>
      </c>
      <c r="D755" s="9">
        <f>Base_de_dados!I755*300</f>
        <v>180000</v>
      </c>
      <c r="E755" s="10">
        <f>Base_de_dados!H755/Base_de_dados!I755</f>
        <v>82.666666899999996</v>
      </c>
      <c r="F755" s="11">
        <f>(D755-Base_de_dados!H755)/Base_de_dados!H755</f>
        <v>2.6290322478212804</v>
      </c>
    </row>
    <row r="756" spans="1:6">
      <c r="A756" s="6" t="str">
        <f>Base_de_dados!A756</f>
        <v>Ad_22</v>
      </c>
      <c r="B756" s="8">
        <f>Base_de_dados!G756/Base_de_dados!F756</f>
        <v>7.2398105505058529E-3</v>
      </c>
      <c r="C756" s="9">
        <f>Base_de_dados!G756/Base_de_dados!H756</f>
        <v>2.9097053279972626E-2</v>
      </c>
      <c r="D756" s="9">
        <f>Base_de_dados!I756*300</f>
        <v>135000</v>
      </c>
      <c r="E756" s="10">
        <f>Base_de_dados!H756/Base_de_dados!I756</f>
        <v>118.37777562222222</v>
      </c>
      <c r="F756" s="11">
        <f>(D756-Base_de_dados!H756)/Base_de_dados!H756</f>
        <v>1.5342594792234221</v>
      </c>
    </row>
    <row r="757" spans="1:6">
      <c r="A757" s="6" t="str">
        <f>Base_de_dados!A757</f>
        <v>Ad_22</v>
      </c>
      <c r="B757" s="8">
        <f>Base_de_dados!G757/Base_de_dados!F757</f>
        <v>8.076638750002375E-3</v>
      </c>
      <c r="C757" s="9">
        <f>Base_de_dados!G757/Base_de_dados!H757</f>
        <v>3.3483022243702899E-2</v>
      </c>
      <c r="D757" s="9">
        <f>Base_de_dados!I757*300</f>
        <v>195000</v>
      </c>
      <c r="E757" s="10">
        <f>Base_de_dados!H757/Base_de_dados!I757</f>
        <v>195.27692246153845</v>
      </c>
      <c r="F757" s="11">
        <f>(D757-Base_de_dados!H757)/Base_de_dados!H757</f>
        <v>0.53627984412283891</v>
      </c>
    </row>
    <row r="758" spans="1:6">
      <c r="A758" s="6" t="str">
        <f>Base_de_dados!A758</f>
        <v>Ad_22</v>
      </c>
      <c r="B758" s="8">
        <f>Base_de_dados!G758/Base_de_dados!F758</f>
        <v>8.0956036824202625E-3</v>
      </c>
      <c r="C758" s="9">
        <f>Base_de_dados!G758/Base_de_dados!H758</f>
        <v>3.3403852391694397E-2</v>
      </c>
      <c r="D758" s="9">
        <f>Base_de_dados!I758*300</f>
        <v>195000</v>
      </c>
      <c r="E758" s="10">
        <f>Base_de_dados!H758/Base_de_dados!I758</f>
        <v>276.33846307692306</v>
      </c>
      <c r="F758" s="11">
        <f>(D758-Base_de_dados!H758)/Base_de_dados!H758</f>
        <v>8.5625202730067976E-2</v>
      </c>
    </row>
    <row r="759" spans="1:6">
      <c r="A759" s="6" t="str">
        <f>Base_de_dados!A759</f>
        <v>Ad_22</v>
      </c>
      <c r="B759" s="8">
        <f>Base_de_dados!G759/Base_de_dados!F759</f>
        <v>7.2326661922037646E-3</v>
      </c>
      <c r="C759" s="9">
        <f>Base_de_dados!G759/Base_de_dados!H759</f>
        <v>3.25351375848488E-2</v>
      </c>
      <c r="D759" s="9">
        <f>Base_de_dados!I759*300</f>
        <v>165000</v>
      </c>
      <c r="E759" s="10">
        <f>Base_de_dados!H759/Base_de_dados!I759</f>
        <v>69.854546236363632</v>
      </c>
      <c r="F759" s="11">
        <f>(D759-Base_de_dados!H759)/Base_de_dados!H759</f>
        <v>3.2946381612000413</v>
      </c>
    </row>
    <row r="760" spans="1:6">
      <c r="A760" s="6" t="str">
        <f>Base_de_dados!A760</f>
        <v>Ad_22</v>
      </c>
      <c r="B760" s="8">
        <f>Base_de_dados!G760/Base_de_dados!F760</f>
        <v>1.0059669725159233E-2</v>
      </c>
      <c r="C760" s="9">
        <f>Base_de_dados!G760/Base_de_dados!H760</f>
        <v>3.2423208246455983E-2</v>
      </c>
      <c r="D760" s="9">
        <f>Base_de_dados!I760*300</f>
        <v>165000</v>
      </c>
      <c r="E760" s="10">
        <f>Base_de_dados!H760/Base_de_dados!I760</f>
        <v>106.54545436363637</v>
      </c>
      <c r="F760" s="11">
        <f>(D760-Base_de_dados!H760)/Base_de_dados!H760</f>
        <v>1.8156996635080198</v>
      </c>
    </row>
    <row r="761" spans="1:6">
      <c r="A761" s="6" t="str">
        <f>Base_de_dados!A761</f>
        <v>Ad_22</v>
      </c>
      <c r="B761" s="8">
        <f>Base_de_dados!G761/Base_de_dados!F761</f>
        <v>1.0152201809528451E-2</v>
      </c>
      <c r="C761" s="9">
        <f>Base_de_dados!G761/Base_de_dados!H761</f>
        <v>3.1462371178497907E-2</v>
      </c>
      <c r="D761" s="9">
        <f>Base_de_dados!I761*300</f>
        <v>165000</v>
      </c>
      <c r="E761" s="10">
        <f>Base_de_dados!H761/Base_de_dados!I761</f>
        <v>72.23636323636363</v>
      </c>
      <c r="F761" s="11">
        <f>(D761-Base_de_dados!H761)/Base_de_dados!H761</f>
        <v>3.1530329955617233</v>
      </c>
    </row>
    <row r="762" spans="1:6">
      <c r="A762" s="6" t="str">
        <f>Base_de_dados!A762</f>
        <v>Ad_22</v>
      </c>
      <c r="B762" s="8">
        <f>Base_de_dados!G762/Base_de_dados!F762</f>
        <v>8.9981232485795825E-3</v>
      </c>
      <c r="C762" s="9">
        <f>Base_de_dados!G762/Base_de_dados!H762</f>
        <v>3.6630036610868638E-2</v>
      </c>
      <c r="D762" s="9">
        <f>Base_de_dados!I762*300</f>
        <v>150000</v>
      </c>
      <c r="E762" s="10">
        <f>Base_de_dados!H762/Base_de_dados!I762</f>
        <v>38.220000020000001</v>
      </c>
      <c r="F762" s="11">
        <f>(D762-Base_de_dados!H762)/Base_de_dados!H762</f>
        <v>6.8492935594718505</v>
      </c>
    </row>
    <row r="763" spans="1:6">
      <c r="A763" s="6" t="str">
        <f>Base_de_dados!A763</f>
        <v>Ad_22</v>
      </c>
      <c r="B763" s="8">
        <f>Base_de_dados!G763/Base_de_dados!F763</f>
        <v>7.9463182058979332E-3</v>
      </c>
      <c r="C763" s="9">
        <f>Base_de_dados!G763/Base_de_dados!H763</f>
        <v>2.8462997778409892E-2</v>
      </c>
      <c r="D763" s="9">
        <f>Base_de_dados!I763*300</f>
        <v>135000</v>
      </c>
      <c r="E763" s="10">
        <f>Base_de_dados!H763/Base_de_dados!I763</f>
        <v>35.13333373333333</v>
      </c>
      <c r="F763" s="11">
        <f>(D763-Base_de_dados!H763)/Base_de_dados!H763</f>
        <v>7.5388993335229681</v>
      </c>
    </row>
    <row r="764" spans="1:6">
      <c r="A764" s="6" t="str">
        <f>Base_de_dados!A764</f>
        <v>Ad_22</v>
      </c>
      <c r="B764" s="8">
        <f>Base_de_dados!G764/Base_de_dados!F764</f>
        <v>1.060262845396214E-2</v>
      </c>
      <c r="C764" s="9">
        <f>Base_de_dados!G764/Base_de_dados!H764</f>
        <v>3.0148258024216727E-2</v>
      </c>
      <c r="D764" s="9">
        <f>Base_de_dados!I764*300</f>
        <v>210000</v>
      </c>
      <c r="E764" s="10">
        <f>Base_de_dados!H764/Base_de_dados!I764</f>
        <v>201.38571742857144</v>
      </c>
      <c r="F764" s="11">
        <f>(D764-Base_de_dados!H764)/Base_de_dados!H764</f>
        <v>0.48967863178482646</v>
      </c>
    </row>
    <row r="765" spans="1:6">
      <c r="A765" s="6" t="str">
        <f>Base_de_dados!A765</f>
        <v>Ad_22</v>
      </c>
      <c r="B765" s="8">
        <f>Base_de_dados!G765/Base_de_dados!F765</f>
        <v>8.6301133421552278E-3</v>
      </c>
      <c r="C765" s="9">
        <f>Base_de_dados!G765/Base_de_dados!H765</f>
        <v>2.9624753014916173E-2</v>
      </c>
      <c r="D765" s="9">
        <f>Base_de_dados!I765*300</f>
        <v>165000</v>
      </c>
      <c r="E765" s="10">
        <f>Base_de_dados!H765/Base_de_dados!I765</f>
        <v>110.4727276909091</v>
      </c>
      <c r="F765" s="11">
        <f>(D765-Base_de_dados!H765)/Base_de_dados!H765</f>
        <v>1.7156023597006491</v>
      </c>
    </row>
    <row r="766" spans="1:6">
      <c r="A766" s="6" t="str">
        <f>Base_de_dados!A766</f>
        <v>Ad_22</v>
      </c>
      <c r="B766" s="8">
        <f>Base_de_dados!G766/Base_de_dados!F766</f>
        <v>6.7792014100738936E-3</v>
      </c>
      <c r="C766" s="9">
        <f>Base_de_dados!G766/Base_de_dados!H766</f>
        <v>2.9607697760411045E-2</v>
      </c>
      <c r="D766" s="9">
        <f>Base_de_dados!I766*300</f>
        <v>120000</v>
      </c>
      <c r="E766" s="10">
        <f>Base_de_dados!H766/Base_de_dados!I766</f>
        <v>33.775000275000004</v>
      </c>
      <c r="F766" s="11">
        <f>(D766-Base_de_dados!H766)/Base_de_dados!H766</f>
        <v>7.8823093281233145</v>
      </c>
    </row>
    <row r="767" spans="1:6">
      <c r="A767" s="6" t="str">
        <f>Base_de_dados!A767</f>
        <v>Ad_22</v>
      </c>
      <c r="B767" s="8">
        <f>Base_de_dados!G767/Base_de_dados!F767</f>
        <v>8.1527416141409306E-3</v>
      </c>
      <c r="C767" s="9">
        <f>Base_de_dados!G767/Base_de_dados!H767</f>
        <v>2.9038112512145876E-2</v>
      </c>
      <c r="D767" s="9">
        <f>Base_de_dados!I767*300</f>
        <v>120000</v>
      </c>
      <c r="E767" s="10">
        <f>Base_de_dados!H767/Base_de_dados!I767</f>
        <v>137.75000005000001</v>
      </c>
      <c r="F767" s="11">
        <f>(D767-Base_de_dados!H767)/Base_de_dados!H767</f>
        <v>1.1778584384109407</v>
      </c>
    </row>
    <row r="768" spans="1:6">
      <c r="A768" s="6" t="str">
        <f>Base_de_dados!A768</f>
        <v>Ad_22</v>
      </c>
      <c r="B768" s="8">
        <f>Base_de_dados!G768/Base_de_dados!F768</f>
        <v>7.7133711288518651E-3</v>
      </c>
      <c r="C768" s="9">
        <f>Base_de_dados!G768/Base_de_dados!H768</f>
        <v>3.1670625219020684E-2</v>
      </c>
      <c r="D768" s="9">
        <f>Base_de_dados!I768*300</f>
        <v>165000</v>
      </c>
      <c r="E768" s="10">
        <f>Base_de_dados!H768/Base_de_dados!I768</f>
        <v>22.963636563636364</v>
      </c>
      <c r="F768" s="11">
        <f>(D768-Base_de_dados!H768)/Base_de_dados!H768</f>
        <v>12.064132902846033</v>
      </c>
    </row>
    <row r="769" spans="1:6">
      <c r="A769" s="6" t="str">
        <f>Base_de_dados!A769</f>
        <v>Ad_22</v>
      </c>
      <c r="B769" s="8">
        <f>Base_de_dados!G769/Base_de_dados!F769</f>
        <v>8.7261899673747347E-3</v>
      </c>
      <c r="C769" s="9">
        <f>Base_de_dados!G769/Base_de_dados!H769</f>
        <v>3.0113077586919012E-2</v>
      </c>
      <c r="D769" s="9">
        <f>Base_de_dados!I769*300</f>
        <v>150000</v>
      </c>
      <c r="E769" s="10">
        <f>Base_de_dados!H769/Base_de_dados!I769</f>
        <v>162.7200005</v>
      </c>
      <c r="F769" s="11">
        <f>(D769-Base_de_dados!H769)/Base_de_dados!H769</f>
        <v>0.84365781144402108</v>
      </c>
    </row>
    <row r="770" spans="1:6">
      <c r="A770" s="6" t="str">
        <f>Base_de_dados!A770</f>
        <v>Ad_22</v>
      </c>
      <c r="B770" s="8">
        <f>Base_de_dados!G770/Base_de_dados!F770</f>
        <v>8.6396481306943128E-3</v>
      </c>
      <c r="C770" s="9">
        <f>Base_de_dados!G770/Base_de_dados!H770</f>
        <v>3.3394049726665355E-2</v>
      </c>
      <c r="D770" s="9">
        <f>Base_de_dados!I770*300</f>
        <v>150000</v>
      </c>
      <c r="E770" s="10">
        <f>Base_de_dados!H770/Base_de_dados!I770</f>
        <v>32.940000060000003</v>
      </c>
      <c r="F770" s="11">
        <f>(D770-Base_de_dados!H770)/Base_de_dados!H770</f>
        <v>8.1074681072723696</v>
      </c>
    </row>
    <row r="771" spans="1:6">
      <c r="A771" s="6" t="str">
        <f>Base_de_dados!A771</f>
        <v>Ad_22</v>
      </c>
      <c r="B771" s="8">
        <f>Base_de_dados!G771/Base_de_dados!F771</f>
        <v>8.6925491129024885E-3</v>
      </c>
      <c r="C771" s="9">
        <f>Base_de_dados!G771/Base_de_dados!H771</f>
        <v>3.0615533384417214E-2</v>
      </c>
      <c r="D771" s="9">
        <f>Base_de_dados!I771*300</f>
        <v>135000</v>
      </c>
      <c r="E771" s="10">
        <f>Base_de_dados!H771/Base_de_dados!I771</f>
        <v>68.955555488888876</v>
      </c>
      <c r="F771" s="11">
        <f>(D771-Base_de_dados!H771)/Base_de_dados!H771</f>
        <v>3.3506284283119192</v>
      </c>
    </row>
    <row r="772" spans="1:6">
      <c r="A772" s="6" t="str">
        <f>Base_de_dados!A772</f>
        <v>Ad_22</v>
      </c>
      <c r="B772" s="8">
        <f>Base_de_dados!G772/Base_de_dados!F772</f>
        <v>1.0613457864572278E-2</v>
      </c>
      <c r="C772" s="9">
        <f>Base_de_dados!G772/Base_de_dados!H772</f>
        <v>3.2932652909552149E-2</v>
      </c>
      <c r="D772" s="9">
        <f>Base_de_dados!I772*300</f>
        <v>165000</v>
      </c>
      <c r="E772" s="10">
        <f>Base_de_dados!H772/Base_de_dados!I772</f>
        <v>110.41818119999999</v>
      </c>
      <c r="F772" s="11">
        <f>(D772-Base_de_dados!H772)/Base_de_dados!H772</f>
        <v>1.7169438650380524</v>
      </c>
    </row>
    <row r="773" spans="1:6">
      <c r="A773" s="6" t="str">
        <f>Base_de_dados!A773</f>
        <v>Ad_22</v>
      </c>
      <c r="B773" s="8">
        <f>Base_de_dados!G773/Base_de_dados!F773</f>
        <v>1.0353136059031699E-2</v>
      </c>
      <c r="C773" s="9">
        <f>Base_de_dados!G773/Base_de_dados!H773</f>
        <v>2.9399972742349813E-2</v>
      </c>
      <c r="D773" s="9">
        <f>Base_de_dados!I773*300</f>
        <v>165000</v>
      </c>
      <c r="E773" s="10">
        <f>Base_de_dados!H773/Base_de_dados!I773</f>
        <v>136.05454790909093</v>
      </c>
      <c r="F773" s="11">
        <f>(D773-Base_de_dados!H773)/Base_de_dados!H773</f>
        <v>1.204997955676236</v>
      </c>
    </row>
    <row r="774" spans="1:6">
      <c r="A774" s="6" t="str">
        <f>Base_de_dados!A774</f>
        <v>Ad_22</v>
      </c>
      <c r="B774" s="8">
        <f>Base_de_dados!G774/Base_de_dados!F774</f>
        <v>7.6748326886473877E-3</v>
      </c>
      <c r="C774" s="9">
        <f>Base_de_dados!G774/Base_de_dados!H774</f>
        <v>3.3422459808151506E-2</v>
      </c>
      <c r="D774" s="9">
        <f>Base_de_dados!I774*300</f>
        <v>135000</v>
      </c>
      <c r="E774" s="10">
        <f>Base_de_dados!H774/Base_de_dados!I774</f>
        <v>16.622222264444446</v>
      </c>
      <c r="F774" s="11">
        <f>(D774-Base_de_dados!H774)/Base_de_dados!H774</f>
        <v>17.048128296401813</v>
      </c>
    </row>
    <row r="775" spans="1:6">
      <c r="A775" s="6" t="str">
        <f>Base_de_dados!A775</f>
        <v>Ad_22</v>
      </c>
      <c r="B775" s="8">
        <f>Base_de_dados!G775/Base_de_dados!F775</f>
        <v>8.9428049302072397E-3</v>
      </c>
      <c r="C775" s="9">
        <f>Base_de_dados!G775/Base_de_dados!H775</f>
        <v>3.1524122374943495E-2</v>
      </c>
      <c r="D775" s="9">
        <f>Base_de_dados!I775*300</f>
        <v>150000</v>
      </c>
      <c r="E775" s="10">
        <f>Base_de_dados!H775/Base_de_dados!I775</f>
        <v>72.960001000000005</v>
      </c>
      <c r="F775" s="11">
        <f>(D775-Base_de_dados!H775)/Base_de_dados!H775</f>
        <v>3.1118420489056735</v>
      </c>
    </row>
    <row r="776" spans="1:6">
      <c r="A776" s="6" t="str">
        <f>Base_de_dados!A776</f>
        <v>Ad_22</v>
      </c>
      <c r="B776" s="8">
        <f>Base_de_dados!G776/Base_de_dados!F776</f>
        <v>9.9077751265305453E-3</v>
      </c>
      <c r="C776" s="9">
        <f>Base_de_dados!G776/Base_de_dados!H776</f>
        <v>3.5263002952659099E-2</v>
      </c>
      <c r="D776" s="9">
        <f>Base_de_dados!I776*300</f>
        <v>150000</v>
      </c>
      <c r="E776" s="10">
        <f>Base_de_dados!H776/Base_de_dados!I776</f>
        <v>136.12000108000001</v>
      </c>
      <c r="F776" s="11">
        <f>(D776-Base_de_dados!H776)/Base_de_dados!H776</f>
        <v>1.2039376845411935</v>
      </c>
    </row>
    <row r="777" spans="1:6">
      <c r="A777" s="6" t="str">
        <f>Base_de_dados!A777</f>
        <v>Ad_22</v>
      </c>
      <c r="B777" s="8">
        <f>Base_de_dados!G777/Base_de_dados!F777</f>
        <v>7.5405682572238647E-3</v>
      </c>
      <c r="C777" s="9">
        <f>Base_de_dados!G777/Base_de_dados!H777</f>
        <v>3.1725888345003735E-2</v>
      </c>
      <c r="D777" s="9">
        <f>Base_de_dados!I777*300</f>
        <v>150000</v>
      </c>
      <c r="E777" s="10">
        <f>Base_de_dados!H777/Base_de_dados!I777</f>
        <v>15.759999990000001</v>
      </c>
      <c r="F777" s="11">
        <f>(D777-Base_de_dados!H777)/Base_de_dados!H777</f>
        <v>18.035533007002243</v>
      </c>
    </row>
    <row r="778" spans="1:6">
      <c r="A778" s="6" t="str">
        <f>Base_de_dados!A778</f>
        <v>Ad_22</v>
      </c>
      <c r="B778" s="8">
        <f>Base_de_dados!G778/Base_de_dados!F778</f>
        <v>5.1161362938708689E-3</v>
      </c>
      <c r="C778" s="9">
        <f>Base_de_dados!G778/Base_de_dados!H778</f>
        <v>3.4246574451116556E-2</v>
      </c>
      <c r="D778" s="9">
        <f>Base_de_dados!I778*300</f>
        <v>135000</v>
      </c>
      <c r="E778" s="10">
        <f>Base_de_dados!H778/Base_de_dados!I778</f>
        <v>3.2444445288888888</v>
      </c>
      <c r="F778" s="11">
        <f>(D778-Base_de_dados!H778)/Base_de_dados!H778</f>
        <v>91.4657510180147</v>
      </c>
    </row>
    <row r="779" spans="1:6">
      <c r="A779" s="6" t="str">
        <f>Base_de_dados!A779</f>
        <v>Ad_22</v>
      </c>
      <c r="B779" s="8">
        <f>Base_de_dados!G779/Base_de_dados!F779</f>
        <v>5.8667848715174111E-3</v>
      </c>
      <c r="C779" s="9">
        <f>Base_de_dados!G779/Base_de_dados!H779</f>
        <v>3.7037038195397082E-2</v>
      </c>
      <c r="D779" s="9">
        <f>Base_de_dados!I779*300</f>
        <v>195000</v>
      </c>
      <c r="E779" s="10">
        <f>Base_de_dados!H779/Base_de_dados!I779</f>
        <v>18.692307107692304</v>
      </c>
      <c r="F779" s="11">
        <f>(D779-Base_de_dados!H779)/Base_de_dados!H779</f>
        <v>15.049383218005405</v>
      </c>
    </row>
    <row r="780" spans="1:6">
      <c r="A780" s="6" t="str">
        <f>Base_de_dados!A780</f>
        <v>Ad_22</v>
      </c>
      <c r="B780" s="8">
        <f>Base_de_dados!G780/Base_de_dados!F780</f>
        <v>7.2866115798831226E-3</v>
      </c>
      <c r="C780" s="9">
        <f>Base_de_dados!G780/Base_de_dados!H780</f>
        <v>3.3422459133446783E-2</v>
      </c>
      <c r="D780" s="9">
        <f>Base_de_dados!I780*300</f>
        <v>135000</v>
      </c>
      <c r="E780" s="10">
        <f>Base_de_dados!H780/Base_de_dados!I780</f>
        <v>33.244445200000001</v>
      </c>
      <c r="F780" s="11">
        <f>(D780-Base_de_dados!H780)/Base_de_dados!H780</f>
        <v>8.0240639660306314</v>
      </c>
    </row>
    <row r="781" spans="1:6">
      <c r="A781" s="6" t="str">
        <f>Base_de_dados!A781</f>
        <v>Ad_22</v>
      </c>
      <c r="B781" s="8">
        <f>Base_de_dados!G781/Base_de_dados!F781</f>
        <v>2.8475425707614327E-3</v>
      </c>
      <c r="C781" s="9">
        <f>Base_de_dados!G781/Base_de_dados!H781</f>
        <v>3.3557046754650696E-2</v>
      </c>
      <c r="D781" s="9">
        <f>Base_de_dados!I781*300</f>
        <v>165000</v>
      </c>
      <c r="E781" s="10">
        <f>Base_de_dados!H781/Base_de_dados!I781</f>
        <v>2.7090909272727273</v>
      </c>
      <c r="F781" s="11">
        <f>(D781-Base_de_dados!H781)/Base_de_dados!H781</f>
        <v>109.7382542903473</v>
      </c>
    </row>
    <row r="782" spans="1:6">
      <c r="A782" s="6" t="str">
        <f>Base_de_dados!A782</f>
        <v>Ad_22</v>
      </c>
      <c r="B782" s="8">
        <f>Base_de_dados!G782/Base_de_dados!F782</f>
        <v>6.8900992899571366E-3</v>
      </c>
      <c r="C782" s="9">
        <f>Base_de_dados!G782/Base_de_dados!H782</f>
        <v>3.3368457990830568E-2</v>
      </c>
      <c r="D782" s="9">
        <f>Base_de_dados!I782*300</f>
        <v>150000</v>
      </c>
      <c r="E782" s="10">
        <f>Base_de_dados!H782/Base_de_dados!I782</f>
        <v>56.940000060000003</v>
      </c>
      <c r="F782" s="11">
        <f>(D782-Base_de_dados!H782)/Base_de_dados!H782</f>
        <v>4.2687038932890369</v>
      </c>
    </row>
    <row r="783" spans="1:6">
      <c r="A783" s="6" t="str">
        <f>Base_de_dados!A783</f>
        <v>Ad_22</v>
      </c>
      <c r="B783" s="8">
        <f>Base_de_dados!G783/Base_de_dados!F783</f>
        <v>7.3844336139418107E-3</v>
      </c>
      <c r="C783" s="9">
        <f>Base_de_dados!G783/Base_de_dados!H783</f>
        <v>3.3003300373601718E-2</v>
      </c>
      <c r="D783" s="9">
        <f>Base_de_dados!I783*300</f>
        <v>150000</v>
      </c>
      <c r="E783" s="10">
        <f>Base_de_dados!H783/Base_de_dados!I783</f>
        <v>30.299999960000001</v>
      </c>
      <c r="F783" s="11">
        <f>(D783-Base_de_dados!H783)/Base_de_dados!H783</f>
        <v>8.9009901120805157</v>
      </c>
    </row>
    <row r="784" spans="1:6">
      <c r="A784" s="6" t="str">
        <f>Base_de_dados!A784</f>
        <v>Ad_22</v>
      </c>
      <c r="B784" s="8">
        <f>Base_de_dados!G784/Base_de_dados!F784</f>
        <v>5.8877592050089033E-3</v>
      </c>
      <c r="C784" s="9">
        <f>Base_de_dados!G784/Base_de_dados!H784</f>
        <v>3.403619511296134E-2</v>
      </c>
      <c r="D784" s="9">
        <f>Base_de_dados!I784*300</f>
        <v>180000</v>
      </c>
      <c r="E784" s="10">
        <f>Base_de_dados!H784/Base_de_dados!I784</f>
        <v>100.38333178333333</v>
      </c>
      <c r="F784" s="11">
        <f>(D784-Base_de_dados!H784)/Base_de_dados!H784</f>
        <v>1.9885439611380691</v>
      </c>
    </row>
    <row r="785" spans="1:6">
      <c r="A785" s="6" t="str">
        <f>Base_de_dados!A785</f>
        <v>Ad_22</v>
      </c>
      <c r="B785" s="8">
        <f>Base_de_dados!G785/Base_de_dados!F785</f>
        <v>6.1540144687717959E-3</v>
      </c>
      <c r="C785" s="9">
        <f>Base_de_dados!G785/Base_de_dados!H785</f>
        <v>3.1337047844765722E-2</v>
      </c>
      <c r="D785" s="9">
        <f>Base_de_dados!I785*300</f>
        <v>180000</v>
      </c>
      <c r="E785" s="10">
        <f>Base_de_dados!H785/Base_de_dados!I785</f>
        <v>47.866665916666669</v>
      </c>
      <c r="F785" s="11">
        <f>(D785-Base_de_dados!H785)/Base_de_dados!H785</f>
        <v>5.2674095689531439</v>
      </c>
    </row>
    <row r="786" spans="1:6">
      <c r="A786" s="6" t="str">
        <f>Base_de_dados!A786</f>
        <v>Ad_22</v>
      </c>
      <c r="B786" s="8">
        <f>Base_de_dados!G786/Base_de_dados!F786</f>
        <v>6.4090239056591681E-3</v>
      </c>
      <c r="C786" s="9">
        <f>Base_de_dados!G786/Base_de_dados!H786</f>
        <v>3.4413536336241404E-2</v>
      </c>
      <c r="D786" s="9">
        <f>Base_de_dados!I786*300</f>
        <v>180000</v>
      </c>
      <c r="E786" s="10">
        <f>Base_de_dados!H786/Base_de_dados!I786</f>
        <v>58.116666083333328</v>
      </c>
      <c r="F786" s="11">
        <f>(D786-Base_de_dados!H786)/Base_de_dados!H786</f>
        <v>4.1620304504362107</v>
      </c>
    </row>
    <row r="787" spans="1:6">
      <c r="A787" s="6" t="str">
        <f>Base_de_dados!A787</f>
        <v>Ad_22</v>
      </c>
      <c r="B787" s="8">
        <f>Base_de_dados!G787/Base_de_dados!F787</f>
        <v>6.2364011807586233E-3</v>
      </c>
      <c r="C787" s="9">
        <f>Base_de_dados!G787/Base_de_dados!H787</f>
        <v>3.3333332444444468E-2</v>
      </c>
      <c r="D787" s="9">
        <f>Base_de_dados!I787*300</f>
        <v>150000</v>
      </c>
      <c r="E787" s="10">
        <f>Base_de_dados!H787/Base_de_dados!I787</f>
        <v>27.000000719999999</v>
      </c>
      <c r="F787" s="11">
        <f>(D787-Base_de_dados!H787)/Base_de_dados!H787</f>
        <v>10.111110814814822</v>
      </c>
    </row>
    <row r="788" spans="1:6">
      <c r="A788" s="6" t="str">
        <f>Base_de_dados!A788</f>
        <v>Ad_22</v>
      </c>
      <c r="B788" s="8">
        <f>Base_de_dados!G788/Base_de_dados!F788</f>
        <v>5.4836586970826934E-3</v>
      </c>
      <c r="C788" s="9">
        <f>Base_de_dados!G788/Base_de_dados!H788</f>
        <v>3.6873156505338449E-2</v>
      </c>
      <c r="D788" s="9">
        <f>Base_de_dados!I788*300</f>
        <v>135000</v>
      </c>
      <c r="E788" s="10">
        <f>Base_de_dados!H788/Base_de_dados!I788</f>
        <v>30.133333200000003</v>
      </c>
      <c r="F788" s="11">
        <f>(D788-Base_de_dados!H788)/Base_de_dados!H788</f>
        <v>8.9557522564413805</v>
      </c>
    </row>
    <row r="789" spans="1:6">
      <c r="A789" s="6" t="str">
        <f>Base_de_dados!A789</f>
        <v>Ad_22</v>
      </c>
      <c r="B789" s="8">
        <f>Base_de_dados!G789/Base_de_dados!F789</f>
        <v>3.4765276441889839E-3</v>
      </c>
      <c r="C789" s="9">
        <f>Base_de_dados!G789/Base_de_dados!H789</f>
        <v>3.2397408658668005E-2</v>
      </c>
      <c r="D789" s="9">
        <f>Base_de_dados!I789*300</f>
        <v>150000</v>
      </c>
      <c r="E789" s="10">
        <f>Base_de_dados!H789/Base_de_dados!I789</f>
        <v>18.519999742</v>
      </c>
      <c r="F789" s="11">
        <f>(D789-Base_de_dados!H789)/Base_de_dados!H789</f>
        <v>15.198704329334001</v>
      </c>
    </row>
    <row r="790" spans="1:6">
      <c r="A790" s="6" t="str">
        <f>Base_de_dados!A790</f>
        <v>Ad_23</v>
      </c>
      <c r="B790" s="8">
        <f>Base_de_dados!G790/Base_de_dados!F790</f>
        <v>1.2344095453648956E-2</v>
      </c>
      <c r="C790" s="9">
        <f>Base_de_dados!G790/Base_de_dados!H790</f>
        <v>3.7541946198492604E-2</v>
      </c>
      <c r="D790" s="9">
        <f>Base_de_dados!I790*300</f>
        <v>90000</v>
      </c>
      <c r="E790" s="10">
        <f>Base_de_dados!H790/Base_de_dados!I790</f>
        <v>794.66666900000007</v>
      </c>
      <c r="F790" s="11">
        <f>(D790-Base_de_dados!H790)/Base_de_dados!H790</f>
        <v>-0.62248322258499056</v>
      </c>
    </row>
    <row r="791" spans="1:6">
      <c r="A791" s="6" t="str">
        <f>Base_de_dados!A791</f>
        <v>Ad_23</v>
      </c>
      <c r="B791" s="8">
        <f>Base_de_dados!G791/Base_de_dados!F791</f>
        <v>1.2670595857629528E-2</v>
      </c>
      <c r="C791" s="9">
        <f>Base_de_dados!G791/Base_de_dados!H791</f>
        <v>3.6540344868694029E-2</v>
      </c>
      <c r="D791" s="9">
        <f>Base_de_dados!I791*300</f>
        <v>135000</v>
      </c>
      <c r="E791" s="10">
        <f>Base_de_dados!H791/Base_de_dados!I791</f>
        <v>294.95555711111115</v>
      </c>
      <c r="F791" s="11">
        <f>(D791-Base_de_dados!H791)/Base_de_dados!H791</f>
        <v>1.7102382943029668E-2</v>
      </c>
    </row>
    <row r="792" spans="1:6">
      <c r="A792" s="6" t="str">
        <f>Base_de_dados!A792</f>
        <v>Ad_23</v>
      </c>
      <c r="B792" s="8">
        <f>Base_de_dados!G792/Base_de_dados!F792</f>
        <v>1.2494300045599635E-2</v>
      </c>
      <c r="C792" s="9">
        <f>Base_de_dados!G792/Base_de_dados!H792</f>
        <v>3.3978173895295984E-2</v>
      </c>
      <c r="D792" s="9">
        <f>Base_de_dados!I792*300</f>
        <v>105000</v>
      </c>
      <c r="E792" s="10">
        <f>Base_de_dados!H792/Base_de_dados!I792</f>
        <v>576.00001199999997</v>
      </c>
      <c r="F792" s="11">
        <f>(D792-Base_de_dados!H792)/Base_de_dados!H792</f>
        <v>-0.47916667751736086</v>
      </c>
    </row>
    <row r="793" spans="1:6">
      <c r="A793" s="6" t="str">
        <f>Base_de_dados!A793</f>
        <v>Ad_23</v>
      </c>
      <c r="B793" s="8">
        <f>Base_de_dados!G793/Base_de_dados!F793</f>
        <v>1.2736283832134307E-2</v>
      </c>
      <c r="C793" s="9">
        <f>Base_de_dados!G793/Base_de_dados!H793</f>
        <v>3.7197901588277314E-2</v>
      </c>
      <c r="D793" s="9">
        <f>Base_de_dados!I793*300</f>
        <v>120000</v>
      </c>
      <c r="E793" s="10">
        <f>Base_de_dados!H793/Base_de_dados!I793</f>
        <v>1162.69999525</v>
      </c>
      <c r="F793" s="11">
        <f>(D793-Base_de_dados!H793)/Base_de_dados!H793</f>
        <v>-0.74197987337611115</v>
      </c>
    </row>
    <row r="794" spans="1:6">
      <c r="A794" s="6" t="str">
        <f>Base_de_dados!A794</f>
        <v>Ad_23</v>
      </c>
      <c r="B794" s="8">
        <f>Base_de_dados!G794/Base_de_dados!F794</f>
        <v>1.2306549349262891E-2</v>
      </c>
      <c r="C794" s="9">
        <f>Base_de_dados!G794/Base_de_dados!H794</f>
        <v>3.4689708128678672E-2</v>
      </c>
      <c r="D794" s="9">
        <f>Base_de_dados!I794*300</f>
        <v>45000</v>
      </c>
      <c r="E794" s="10">
        <f>Base_de_dados!H794/Base_de_dados!I794</f>
        <v>1566.2666613333333</v>
      </c>
      <c r="F794" s="11">
        <f>(D794-Base_de_dados!H794)/Base_de_dados!H794</f>
        <v>-0.80846173425882939</v>
      </c>
    </row>
    <row r="795" spans="1:6">
      <c r="A795" s="6" t="str">
        <f>Base_de_dados!A795</f>
        <v>Ad_23</v>
      </c>
      <c r="B795" s="8">
        <f>Base_de_dados!G795/Base_de_dados!F795</f>
        <v>1.2420606411534901E-2</v>
      </c>
      <c r="C795" s="9">
        <f>Base_de_dados!G795/Base_de_dados!H795</f>
        <v>3.5626409787655557E-2</v>
      </c>
      <c r="D795" s="9">
        <f>Base_de_dados!I795*300</f>
        <v>30000</v>
      </c>
      <c r="E795" s="10">
        <f>Base_de_dados!H795/Base_de_dados!I795</f>
        <v>1950.799994</v>
      </c>
      <c r="F795" s="11">
        <f>(D795-Base_de_dados!H795)/Base_de_dados!H795</f>
        <v>-0.84621693616839333</v>
      </c>
    </row>
    <row r="796" spans="1:6">
      <c r="A796" s="6" t="str">
        <f>Base_de_dados!A796</f>
        <v>Ad_23</v>
      </c>
      <c r="B796" s="8">
        <f>Base_de_dados!G796/Base_de_dados!F796</f>
        <v>1.0599924553478178E-2</v>
      </c>
      <c r="C796" s="9">
        <f>Base_de_dados!G796/Base_de_dados!H796</f>
        <v>3.247683671529774E-2</v>
      </c>
      <c r="D796" s="9">
        <f>Base_de_dados!I796*300</f>
        <v>30000</v>
      </c>
      <c r="E796" s="10">
        <f>Base_de_dados!H796/Base_de_dados!I796</f>
        <v>1046.899989</v>
      </c>
      <c r="F796" s="11">
        <f>(D796-Base_de_dados!H796)/Base_de_dados!H796</f>
        <v>-0.7134396760414905</v>
      </c>
    </row>
    <row r="797" spans="1:6">
      <c r="A797" s="6" t="str">
        <f>Base_de_dados!A797</f>
        <v>Ad_23</v>
      </c>
      <c r="B797" s="8">
        <f>Base_de_dados!G797/Base_de_dados!F797</f>
        <v>1.1146045195557916E-2</v>
      </c>
      <c r="C797" s="9">
        <f>Base_de_dados!G797/Base_de_dados!H797</f>
        <v>3.4173575188449913E-2</v>
      </c>
      <c r="D797" s="9">
        <f>Base_de_dados!I797*300</f>
        <v>15000</v>
      </c>
      <c r="E797" s="10">
        <f>Base_de_dados!H797/Base_de_dados!I797</f>
        <v>5910.9999140000009</v>
      </c>
      <c r="F797" s="11">
        <f>(D797-Base_de_dados!H797)/Base_de_dados!H797</f>
        <v>-0.94924716556170807</v>
      </c>
    </row>
    <row r="798" spans="1:6">
      <c r="A798" s="6" t="str">
        <f>Base_de_dados!A798</f>
        <v>Ad_23</v>
      </c>
      <c r="B798" s="8">
        <f>Base_de_dados!G798/Base_de_dados!F798</f>
        <v>1.1725776975721922E-2</v>
      </c>
      <c r="C798" s="9">
        <f>Base_de_dados!G798/Base_de_dados!H798</f>
        <v>3.6278369903155694E-2</v>
      </c>
      <c r="D798" s="9">
        <f>Base_de_dados!I798*300</f>
        <v>45000</v>
      </c>
      <c r="E798" s="10">
        <f>Base_de_dados!H798/Base_de_dados!I798</f>
        <v>1506.8666760000001</v>
      </c>
      <c r="F798" s="11">
        <f>(D798-Base_de_dados!H798)/Base_de_dados!H798</f>
        <v>-0.80091138467780409</v>
      </c>
    </row>
    <row r="799" spans="1:6">
      <c r="A799" s="6" t="str">
        <f>Base_de_dados!A799</f>
        <v>Ad_23</v>
      </c>
      <c r="B799" s="8">
        <f>Base_de_dados!G799/Base_de_dados!F799</f>
        <v>1.1642442937329554E-2</v>
      </c>
      <c r="C799" s="9">
        <f>Base_de_dados!G799/Base_de_dados!H799</f>
        <v>3.4412040379449685E-2</v>
      </c>
      <c r="D799" s="9">
        <f>Base_de_dados!I799*300</f>
        <v>60000</v>
      </c>
      <c r="E799" s="10">
        <f>Base_de_dados!H799/Base_de_dados!I799</f>
        <v>1438.4500149999999</v>
      </c>
      <c r="F799" s="11">
        <f>(D799-Base_de_dados!H799)/Base_de_dados!H799</f>
        <v>-0.79144217951848672</v>
      </c>
    </row>
    <row r="800" spans="1:6">
      <c r="A800" s="6" t="str">
        <f>Base_de_dados!A800</f>
        <v>Ad_23</v>
      </c>
      <c r="B800" s="8">
        <f>Base_de_dados!G800/Base_de_dados!F800</f>
        <v>1.216197585330786E-2</v>
      </c>
      <c r="C800" s="9">
        <f>Base_de_dados!G800/Base_de_dados!H800</f>
        <v>3.9094649574603631E-2</v>
      </c>
      <c r="D800" s="9">
        <f>Base_de_dados!I800*300</f>
        <v>210000</v>
      </c>
      <c r="E800" s="10">
        <f>Base_de_dados!H800/Base_de_dados!I800</f>
        <v>451.28572157142861</v>
      </c>
      <c r="F800" s="11">
        <f>(D800-Base_de_dados!H800)/Base_de_dados!H800</f>
        <v>-0.33523267929823786</v>
      </c>
    </row>
    <row r="801" spans="1:6">
      <c r="A801" s="6" t="str">
        <f>Base_de_dados!A801</f>
        <v>Ad_23</v>
      </c>
      <c r="B801" s="8">
        <f>Base_de_dados!G801/Base_de_dados!F801</f>
        <v>1.2748583334737362E-2</v>
      </c>
      <c r="C801" s="9">
        <f>Base_de_dados!G801/Base_de_dados!H801</f>
        <v>3.4085107773487548E-2</v>
      </c>
      <c r="D801" s="9">
        <f>Base_de_dados!I801*300</f>
        <v>0</v>
      </c>
      <c r="E801" s="10" t="e">
        <f>Base_de_dados!H801/Base_de_dados!I801</f>
        <v>#DIV/0!</v>
      </c>
      <c r="F801" s="11">
        <f>(D801-Base_de_dados!H801)/Base_de_dados!H801</f>
        <v>-1</v>
      </c>
    </row>
    <row r="802" spans="1:6">
      <c r="A802" s="6" t="str">
        <f>Base_de_dados!A802</f>
        <v>Ad_23</v>
      </c>
      <c r="B802" s="8">
        <f>Base_de_dados!G802/Base_de_dados!F802</f>
        <v>1.2250305310444206E-2</v>
      </c>
      <c r="C802" s="9">
        <f>Base_de_dados!G802/Base_de_dados!H802</f>
        <v>3.4337498550966412E-2</v>
      </c>
      <c r="D802" s="9">
        <f>Base_de_dados!I802*300</f>
        <v>165000</v>
      </c>
      <c r="E802" s="10">
        <f>Base_de_dados!H802/Base_de_dados!I802</f>
        <v>513.6181836363636</v>
      </c>
      <c r="F802" s="11">
        <f>(D802-Base_de_dados!H802)/Base_de_dados!H802</f>
        <v>-0.41590852980314863</v>
      </c>
    </row>
    <row r="803" spans="1:6">
      <c r="A803" s="6" t="str">
        <f>Base_de_dados!A803</f>
        <v>Ad_23</v>
      </c>
      <c r="B803" s="8">
        <f>Base_de_dados!G803/Base_de_dados!F803</f>
        <v>1.1964697844150364E-2</v>
      </c>
      <c r="C803" s="9">
        <f>Base_de_dados!G803/Base_de_dados!H803</f>
        <v>3.285491936465558E-2</v>
      </c>
      <c r="D803" s="9">
        <f>Base_de_dados!I803*300</f>
        <v>0</v>
      </c>
      <c r="E803" s="10" t="e">
        <f>Base_de_dados!H803/Base_de_dados!I803</f>
        <v>#DIV/0!</v>
      </c>
      <c r="F803" s="11">
        <f>(D803-Base_de_dados!H803)/Base_de_dados!H803</f>
        <v>-1</v>
      </c>
    </row>
    <row r="804" spans="1:6">
      <c r="A804" s="6" t="str">
        <f>Base_de_dados!A804</f>
        <v>Ad_23</v>
      </c>
      <c r="B804" s="8">
        <f>Base_de_dados!G804/Base_de_dados!F804</f>
        <v>1.1967116698360068E-2</v>
      </c>
      <c r="C804" s="9">
        <f>Base_de_dados!G804/Base_de_dados!H804</f>
        <v>3.3155425819973688E-2</v>
      </c>
      <c r="D804" s="9">
        <f>Base_de_dados!I804*300</f>
        <v>120000</v>
      </c>
      <c r="E804" s="10">
        <f>Base_de_dados!H804/Base_de_dados!I804</f>
        <v>618.30000649999999</v>
      </c>
      <c r="F804" s="11">
        <f>(D804-Base_de_dados!H804)/Base_de_dados!H804</f>
        <v>-0.51479864653697038</v>
      </c>
    </row>
    <row r="805" spans="1:6">
      <c r="A805" s="6" t="str">
        <f>Base_de_dados!A805</f>
        <v>Ad_23</v>
      </c>
      <c r="B805" s="8">
        <f>Base_de_dados!G805/Base_de_dados!F805</f>
        <v>1.0676916506512918E-2</v>
      </c>
      <c r="C805" s="9">
        <f>Base_de_dados!G805/Base_de_dados!H805</f>
        <v>3.1249999525669651E-2</v>
      </c>
      <c r="D805" s="9">
        <f>Base_de_dados!I805*300</f>
        <v>105000</v>
      </c>
      <c r="E805" s="10">
        <f>Base_de_dados!H805/Base_de_dados!I805</f>
        <v>32.000000485714281</v>
      </c>
      <c r="F805" s="11">
        <f>(D805-Base_de_dados!H805)/Base_de_dados!H805</f>
        <v>8.3749998577008959</v>
      </c>
    </row>
    <row r="806" spans="1:6">
      <c r="A806" s="6" t="str">
        <f>Base_de_dados!A806</f>
        <v>Ad_23</v>
      </c>
      <c r="B806" s="8">
        <f>Base_de_dados!G806/Base_de_dados!F806</f>
        <v>1.2372208113563847E-2</v>
      </c>
      <c r="C806" s="9">
        <f>Base_de_dados!G806/Base_de_dados!H806</f>
        <v>3.7313432865132314E-2</v>
      </c>
      <c r="D806" s="9">
        <f>Base_de_dados!I806*300</f>
        <v>60000</v>
      </c>
      <c r="E806" s="10">
        <f>Base_de_dados!H806/Base_de_dados!I806</f>
        <v>127.2999999</v>
      </c>
      <c r="F806" s="11">
        <f>(D806-Base_de_dados!H806)/Base_de_dados!H806</f>
        <v>1.3566378651662512</v>
      </c>
    </row>
    <row r="807" spans="1:6">
      <c r="A807" s="6" t="str">
        <f>Base_de_dados!A807</f>
        <v>Ad_23</v>
      </c>
      <c r="B807" s="8">
        <f>Base_de_dados!G807/Base_de_dados!F807</f>
        <v>1.4323798504484184E-2</v>
      </c>
      <c r="C807" s="9">
        <f>Base_de_dados!G807/Base_de_dados!H807</f>
        <v>3.4387206818877081E-2</v>
      </c>
      <c r="D807" s="9">
        <f>Base_de_dados!I807*300</f>
        <v>210000</v>
      </c>
      <c r="E807" s="10">
        <f>Base_de_dados!H807/Base_de_dados!I807</f>
        <v>427.89999757142851</v>
      </c>
      <c r="F807" s="11">
        <f>(D807-Base_de_dados!H807)/Base_de_dados!H807</f>
        <v>-0.2989016085471663</v>
      </c>
    </row>
    <row r="808" spans="1:6">
      <c r="A808" s="6" t="str">
        <f>Base_de_dados!A808</f>
        <v>Ad_23</v>
      </c>
      <c r="B808" s="8">
        <f>Base_de_dados!G808/Base_de_dados!F808</f>
        <v>1.4519105514546243E-2</v>
      </c>
      <c r="C808" s="9">
        <f>Base_de_dados!G808/Base_de_dados!H808</f>
        <v>3.8099985458553025E-2</v>
      </c>
      <c r="D808" s="9">
        <f>Base_de_dados!I808*300</f>
        <v>75000</v>
      </c>
      <c r="E808" s="10">
        <f>Base_de_dados!H808/Base_de_dados!I808</f>
        <v>561.68000440000003</v>
      </c>
      <c r="F808" s="11">
        <f>(D808-Base_de_dados!H808)/Base_de_dados!H808</f>
        <v>-0.4658880543193501</v>
      </c>
    </row>
    <row r="809" spans="1:6">
      <c r="A809" s="6" t="str">
        <f>Base_de_dados!A809</f>
        <v>Ad_23</v>
      </c>
      <c r="B809" s="8">
        <f>Base_de_dados!G809/Base_de_dados!F809</f>
        <v>1.3987621912663587E-2</v>
      </c>
      <c r="C809" s="9">
        <f>Base_de_dados!G809/Base_de_dados!H809</f>
        <v>3.6181601508725597E-2</v>
      </c>
      <c r="D809" s="9">
        <f>Base_de_dados!I809*300</f>
        <v>75000</v>
      </c>
      <c r="E809" s="10">
        <f>Base_de_dados!H809/Base_de_dados!I809</f>
        <v>403.52000439999995</v>
      </c>
      <c r="F809" s="11">
        <f>(D809-Base_de_dados!H809)/Base_de_dados!H809</f>
        <v>-0.25654243475221367</v>
      </c>
    </row>
    <row r="810" spans="1:6">
      <c r="A810" s="6" t="str">
        <f>Base_de_dados!A810</f>
        <v>Ad_23</v>
      </c>
      <c r="B810" s="8">
        <f>Base_de_dados!G810/Base_de_dados!F810</f>
        <v>1.219571686423728E-2</v>
      </c>
      <c r="C810" s="9">
        <f>Base_de_dados!G810/Base_de_dados!H810</f>
        <v>3.7453182454516148E-2</v>
      </c>
      <c r="D810" s="9">
        <f>Base_de_dados!I810*300</f>
        <v>15000</v>
      </c>
      <c r="E810" s="10">
        <f>Base_de_dados!H810/Base_de_dados!I810</f>
        <v>267.0000076</v>
      </c>
      <c r="F810" s="11">
        <f>(D810-Base_de_dados!H810)/Base_de_dados!H810</f>
        <v>0.12359547363548454</v>
      </c>
    </row>
    <row r="811" spans="1:6">
      <c r="A811" s="6" t="str">
        <f>Base_de_dados!A811</f>
        <v>Ad_23</v>
      </c>
      <c r="B811" s="8">
        <f>Base_de_dados!G811/Base_de_dados!F811</f>
        <v>1.44577261542994E-2</v>
      </c>
      <c r="C811" s="9">
        <f>Base_de_dados!G811/Base_de_dados!H811</f>
        <v>3.5932203565228388E-2</v>
      </c>
      <c r="D811" s="9">
        <f>Base_de_dados!I811*300</f>
        <v>30000</v>
      </c>
      <c r="E811" s="10">
        <f>Base_de_dados!H811/Base_de_dados!I811</f>
        <v>737.49999639999999</v>
      </c>
      <c r="F811" s="11">
        <f>(D811-Base_de_dados!H811)/Base_de_dados!H811</f>
        <v>-0.5932203369974145</v>
      </c>
    </row>
    <row r="812" spans="1:6">
      <c r="A812" s="6" t="str">
        <f>Base_de_dados!A812</f>
        <v>Ad_23</v>
      </c>
      <c r="B812" s="8">
        <f>Base_de_dados!G812/Base_de_dados!F812</f>
        <v>1.2411931702781627E-2</v>
      </c>
      <c r="C812" s="9">
        <f>Base_de_dados!G812/Base_de_dados!H812</f>
        <v>3.5825951408204777E-2</v>
      </c>
      <c r="D812" s="9">
        <f>Base_de_dados!I812*300</f>
        <v>60000</v>
      </c>
      <c r="E812" s="10">
        <f>Base_de_dados!H812/Base_de_dados!I812</f>
        <v>383.79999580000003</v>
      </c>
      <c r="F812" s="11">
        <f>(D812-Base_de_dados!H812)/Base_de_dados!H812</f>
        <v>-0.21834287836644115</v>
      </c>
    </row>
    <row r="813" spans="1:6">
      <c r="A813" s="6" t="str">
        <f>Base_de_dados!A813</f>
        <v>Ad_23</v>
      </c>
      <c r="B813" s="8">
        <f>Base_de_dados!G813/Base_de_dados!F813</f>
        <v>1.2473022797023867E-2</v>
      </c>
      <c r="C813" s="9">
        <f>Base_de_dados!G813/Base_de_dados!H813</f>
        <v>3.7374846366579353E-2</v>
      </c>
      <c r="D813" s="9">
        <f>Base_de_dados!I813*300</f>
        <v>0</v>
      </c>
      <c r="E813" s="10" t="e">
        <f>Base_de_dados!H813/Base_de_dados!I813</f>
        <v>#DIV/0!</v>
      </c>
      <c r="F813" s="11">
        <f>(D813-Base_de_dados!H813)/Base_de_dados!H813</f>
        <v>-1</v>
      </c>
    </row>
    <row r="814" spans="1:6">
      <c r="A814" s="6" t="str">
        <f>Base_de_dados!A814</f>
        <v>Ad_23</v>
      </c>
      <c r="B814" s="8">
        <f>Base_de_dados!G814/Base_de_dados!F814</f>
        <v>1.5817890385534716E-2</v>
      </c>
      <c r="C814" s="9">
        <f>Base_de_dados!G814/Base_de_dados!H814</f>
        <v>3.5922407284149055E-2</v>
      </c>
      <c r="D814" s="9">
        <f>Base_de_dados!I814*300</f>
        <v>60000</v>
      </c>
      <c r="E814" s="10">
        <f>Base_de_dados!H814/Base_de_dados!I814</f>
        <v>626.35000550000007</v>
      </c>
      <c r="F814" s="11">
        <f>(D814-Base_de_dados!H814)/Base_de_dados!H814</f>
        <v>-0.5210345695446793</v>
      </c>
    </row>
    <row r="815" spans="1:6">
      <c r="A815" s="6" t="str">
        <f>Base_de_dados!A815</f>
        <v>Ad_23</v>
      </c>
      <c r="B815" s="8">
        <f>Base_de_dados!G815/Base_de_dados!F815</f>
        <v>1.8805166719556198E-2</v>
      </c>
      <c r="C815" s="9">
        <f>Base_de_dados!G815/Base_de_dados!H815</f>
        <v>4.1418586848057493E-2</v>
      </c>
      <c r="D815" s="9">
        <f>Base_de_dados!I815*300</f>
        <v>45000</v>
      </c>
      <c r="E815" s="10">
        <f>Base_de_dados!H815/Base_de_dados!I815</f>
        <v>257.53333173333334</v>
      </c>
      <c r="F815" s="11">
        <f>(D815-Base_de_dados!H815)/Base_de_dados!H815</f>
        <v>0.16489775510161694</v>
      </c>
    </row>
    <row r="816" spans="1:6">
      <c r="A816" s="6" t="str">
        <f>Base_de_dados!A816</f>
        <v>Ad_23</v>
      </c>
      <c r="B816" s="8">
        <f>Base_de_dados!G816/Base_de_dados!F816</f>
        <v>1.7646643608385686E-2</v>
      </c>
      <c r="C816" s="9">
        <f>Base_de_dados!G816/Base_de_dados!H816</f>
        <v>3.5014005670895805E-2</v>
      </c>
      <c r="D816" s="9">
        <f>Base_de_dados!I816*300</f>
        <v>15000</v>
      </c>
      <c r="E816" s="10">
        <f>Base_de_dados!H816/Base_de_dados!I816</f>
        <v>142.79999972000002</v>
      </c>
      <c r="F816" s="11">
        <f>(D816-Base_de_dados!H816)/Base_de_dados!H816</f>
        <v>1.1008403402537483</v>
      </c>
    </row>
    <row r="817" spans="1:6">
      <c r="A817" s="6" t="str">
        <f>Base_de_dados!A817</f>
        <v>Ad_23</v>
      </c>
      <c r="B817" s="8">
        <f>Base_de_dados!G817/Base_de_dados!F817</f>
        <v>1.3970336319215532E-2</v>
      </c>
      <c r="C817" s="9">
        <f>Base_de_dados!G817/Base_de_dados!H817</f>
        <v>3.5900504899657744E-2</v>
      </c>
      <c r="D817" s="9">
        <f>Base_de_dados!I817*300</f>
        <v>75000</v>
      </c>
      <c r="E817" s="10">
        <f>Base_de_dados!H817/Base_de_dados!I817</f>
        <v>467.95999239999998</v>
      </c>
      <c r="F817" s="11">
        <f>(D817-Base_de_dados!H817)/Base_de_dados!H817</f>
        <v>-0.35891955536325459</v>
      </c>
    </row>
    <row r="818" spans="1:6">
      <c r="A818" s="6" t="str">
        <f>Base_de_dados!A818</f>
        <v>Ad_23</v>
      </c>
      <c r="B818" s="8">
        <f>Base_de_dados!G818/Base_de_dados!F818</f>
        <v>1.4335850071456989E-2</v>
      </c>
      <c r="C818" s="9">
        <f>Base_de_dados!G818/Base_de_dados!H818</f>
        <v>3.6653975005245282E-2</v>
      </c>
      <c r="D818" s="9">
        <f>Base_de_dados!I818*300</f>
        <v>150000</v>
      </c>
      <c r="E818" s="10">
        <f>Base_de_dados!H818/Base_de_dados!I818</f>
        <v>351.940001</v>
      </c>
      <c r="F818" s="11">
        <f>(D818-Base_de_dados!H818)/Base_de_dados!H818</f>
        <v>-0.14758197662220268</v>
      </c>
    </row>
    <row r="819" spans="1:6">
      <c r="A819" s="6" t="str">
        <f>Base_de_dados!A819</f>
        <v>Ad_23</v>
      </c>
      <c r="B819" s="8">
        <f>Base_de_dados!G819/Base_de_dados!F819</f>
        <v>1.2548648104093688E-2</v>
      </c>
      <c r="C819" s="9">
        <f>Base_de_dados!G819/Base_de_dados!H819</f>
        <v>3.3598334057175529E-2</v>
      </c>
      <c r="D819" s="9">
        <f>Base_de_dados!I819*300</f>
        <v>0</v>
      </c>
      <c r="E819" s="10" t="e">
        <f>Base_de_dados!H819/Base_de_dados!I819</f>
        <v>#DIV/0!</v>
      </c>
      <c r="F819" s="11">
        <f>(D819-Base_de_dados!H819)/Base_de_dados!H819</f>
        <v>-1</v>
      </c>
    </row>
    <row r="820" spans="1:6">
      <c r="A820" s="6" t="str">
        <f>Base_de_dados!A820</f>
        <v>Ad_23</v>
      </c>
      <c r="B820" s="8">
        <f>Base_de_dados!G820/Base_de_dados!F820</f>
        <v>1.3887416358181854E-2</v>
      </c>
      <c r="C820" s="9">
        <f>Base_de_dados!G820/Base_de_dados!H820</f>
        <v>3.5882398499339753E-2</v>
      </c>
      <c r="D820" s="9">
        <f>Base_de_dados!I820*300</f>
        <v>120000</v>
      </c>
      <c r="E820" s="10">
        <f>Base_de_dados!H820/Base_de_dados!I820</f>
        <v>647.94999700000005</v>
      </c>
      <c r="F820" s="11">
        <f>(D820-Base_de_dados!H820)/Base_de_dados!H820</f>
        <v>-0.53700130968593862</v>
      </c>
    </row>
    <row r="821" spans="1:6">
      <c r="A821" s="6" t="str">
        <f>Base_de_dados!A821</f>
        <v>Ad_23</v>
      </c>
      <c r="B821" s="8">
        <f>Base_de_dados!G821/Base_de_dados!F821</f>
        <v>1.2884818922276931E-2</v>
      </c>
      <c r="C821" s="9">
        <f>Base_de_dados!G821/Base_de_dados!H821</f>
        <v>2.9838020982550749E-2</v>
      </c>
      <c r="D821" s="9">
        <f>Base_de_dados!I821*300</f>
        <v>0</v>
      </c>
      <c r="E821" s="10" t="e">
        <f>Base_de_dados!H821/Base_de_dados!I821</f>
        <v>#DIV/0!</v>
      </c>
      <c r="F821" s="11">
        <f>(D821-Base_de_dados!H821)/Base_de_dados!H821</f>
        <v>-1</v>
      </c>
    </row>
    <row r="822" spans="1:6">
      <c r="A822" s="6" t="str">
        <f>Base_de_dados!A822</f>
        <v>Ad_23</v>
      </c>
      <c r="B822" s="8">
        <f>Base_de_dados!G822/Base_de_dados!F822</f>
        <v>1.3613104384538497E-2</v>
      </c>
      <c r="C822" s="9">
        <f>Base_de_dados!G822/Base_de_dados!H822</f>
        <v>3.8883562829145825E-2</v>
      </c>
      <c r="D822" s="9">
        <f>Base_de_dados!I822*300</f>
        <v>30000</v>
      </c>
      <c r="E822" s="10">
        <f>Base_de_dados!H822/Base_de_dados!I822</f>
        <v>1877.3999780000001</v>
      </c>
      <c r="F822" s="11">
        <f>(D822-Base_de_dados!H822)/Base_de_dados!H822</f>
        <v>-0.84020453631857883</v>
      </c>
    </row>
    <row r="823" spans="1:6">
      <c r="A823" s="6" t="str">
        <f>Base_de_dados!A823</f>
        <v>Ad_23</v>
      </c>
      <c r="B823" s="8">
        <f>Base_de_dados!G823/Base_de_dados!F823</f>
        <v>1.2559039333015488E-2</v>
      </c>
      <c r="C823" s="9">
        <f>Base_de_dados!G823/Base_de_dados!H823</f>
        <v>3.4807965552141634E-2</v>
      </c>
      <c r="D823" s="9">
        <f>Base_de_dados!I823*300</f>
        <v>285000</v>
      </c>
      <c r="E823" s="10">
        <f>Base_de_dados!H823/Base_de_dados!I823</f>
        <v>400.69473178947368</v>
      </c>
      <c r="F823" s="11">
        <f>(D823-Base_de_dados!H823)/Base_de_dados!H823</f>
        <v>-0.25130036359544411</v>
      </c>
    </row>
    <row r="824" spans="1:6">
      <c r="A824" s="6" t="str">
        <f>Base_de_dados!A824</f>
        <v>Ad_23</v>
      </c>
      <c r="B824" s="8">
        <f>Base_de_dados!G824/Base_de_dados!F824</f>
        <v>1.2846352720941515E-2</v>
      </c>
      <c r="C824" s="9">
        <f>Base_de_dados!G824/Base_de_dados!H824</f>
        <v>3.3874838327649752E-2</v>
      </c>
      <c r="D824" s="9">
        <f>Base_de_dados!I824*300</f>
        <v>120000</v>
      </c>
      <c r="E824" s="10">
        <f>Base_de_dados!H824/Base_de_dados!I824</f>
        <v>1354.2500057500001</v>
      </c>
      <c r="F824" s="11">
        <f>(D824-Base_de_dados!H824)/Base_de_dados!H824</f>
        <v>-0.77847517169929314</v>
      </c>
    </row>
    <row r="825" spans="1:6">
      <c r="A825" s="6" t="str">
        <f>Base_de_dados!A825</f>
        <v>Ad_23</v>
      </c>
      <c r="B825" s="8">
        <f>Base_de_dados!G825/Base_de_dados!F825</f>
        <v>1.2499689805491959E-2</v>
      </c>
      <c r="C825" s="9">
        <f>Base_de_dados!G825/Base_de_dados!H825</f>
        <v>3.3206367598553187E-2</v>
      </c>
      <c r="D825" s="9">
        <f>Base_de_dados!I825*300</f>
        <v>210000</v>
      </c>
      <c r="E825" s="10">
        <f>Base_de_dados!H825/Base_de_dados!I825</f>
        <v>585.08571800000004</v>
      </c>
      <c r="F825" s="11">
        <f>(D825-Base_de_dados!H825)/Base_de_dados!H825</f>
        <v>-0.48725461796351693</v>
      </c>
    </row>
    <row r="826" spans="1:6">
      <c r="A826" s="6" t="str">
        <f>Base_de_dados!A826</f>
        <v>Ad_23</v>
      </c>
      <c r="B826" s="8">
        <f>Base_de_dados!G826/Base_de_dados!F826</f>
        <v>1.3517401054357283E-2</v>
      </c>
      <c r="C826" s="9">
        <f>Base_de_dados!G826/Base_de_dados!H826</f>
        <v>3.8089657118684131E-2</v>
      </c>
      <c r="D826" s="9">
        <f>Base_de_dados!I826*300</f>
        <v>105000</v>
      </c>
      <c r="E826" s="10">
        <f>Base_de_dados!H826/Base_de_dados!I826</f>
        <v>292.54285771428573</v>
      </c>
      <c r="F826" s="11">
        <f>(D826-Base_de_dados!H826)/Base_de_dados!H826</f>
        <v>2.5490768579957385E-2</v>
      </c>
    </row>
    <row r="827" spans="1:6">
      <c r="A827" s="6" t="str">
        <f>Base_de_dados!A827</f>
        <v>Ad_23</v>
      </c>
      <c r="B827" s="8">
        <f>Base_de_dados!G827/Base_de_dados!F827</f>
        <v>1.3103826811913109E-2</v>
      </c>
      <c r="C827" s="9">
        <f>Base_de_dados!G827/Base_de_dados!H827</f>
        <v>3.9475643643096393E-2</v>
      </c>
      <c r="D827" s="9">
        <f>Base_de_dados!I827*300</f>
        <v>0</v>
      </c>
      <c r="E827" s="10" t="e">
        <f>Base_de_dados!H827/Base_de_dados!I827</f>
        <v>#DIV/0!</v>
      </c>
      <c r="F827" s="11">
        <f>(D827-Base_de_dados!H827)/Base_de_dados!H827</f>
        <v>-1</v>
      </c>
    </row>
    <row r="828" spans="1:6">
      <c r="A828" s="6" t="str">
        <f>Base_de_dados!A828</f>
        <v>Ad_23</v>
      </c>
      <c r="B828" s="8">
        <f>Base_de_dados!G828/Base_de_dados!F828</f>
        <v>1.0925678074895523E-2</v>
      </c>
      <c r="C828" s="9">
        <f>Base_de_dados!G828/Base_de_dados!H828</f>
        <v>3.4995625164089841E-2</v>
      </c>
      <c r="D828" s="9">
        <f>Base_de_dados!I828*300</f>
        <v>30000</v>
      </c>
      <c r="E828" s="10">
        <f>Base_de_dados!H828/Base_de_dados!I828</f>
        <v>228.60000249999996</v>
      </c>
      <c r="F828" s="11">
        <f>(D828-Base_de_dados!H828)/Base_de_dados!H828</f>
        <v>0.31233594365336909</v>
      </c>
    </row>
    <row r="829" spans="1:6">
      <c r="A829" s="6" t="str">
        <f>Base_de_dados!A829</f>
        <v>Ad_23</v>
      </c>
      <c r="B829" s="8">
        <f>Base_de_dados!G829/Base_de_dados!F829</f>
        <v>1.3771654492141549E-2</v>
      </c>
      <c r="C829" s="9">
        <f>Base_de_dados!G829/Base_de_dados!H829</f>
        <v>3.5584550638183346E-2</v>
      </c>
      <c r="D829" s="9">
        <f>Base_de_dados!I829*300</f>
        <v>60000</v>
      </c>
      <c r="E829" s="10">
        <f>Base_de_dados!H829/Base_de_dados!I829</f>
        <v>674.44999499999994</v>
      </c>
      <c r="F829" s="11">
        <f>(D829-Base_de_dados!H829)/Base_de_dados!H829</f>
        <v>-0.55519311702270824</v>
      </c>
    </row>
    <row r="830" spans="1:6">
      <c r="A830" s="6" t="str">
        <f>Base_de_dados!A830</f>
        <v>Ad_23</v>
      </c>
      <c r="B830" s="8">
        <f>Base_de_dados!G830/Base_de_dados!F830</f>
        <v>1.2113307698052581E-2</v>
      </c>
      <c r="C830" s="9">
        <f>Base_de_dados!G830/Base_de_dados!H830</f>
        <v>3.6036524529518991E-2</v>
      </c>
      <c r="D830" s="9">
        <f>Base_de_dados!I830*300</f>
        <v>315000</v>
      </c>
      <c r="E830" s="10">
        <f>Base_de_dados!H830/Base_de_dados!I830</f>
        <v>351.49523523809523</v>
      </c>
      <c r="F830" s="11">
        <f>(D830-Base_de_dados!H830)/Base_de_dados!H830</f>
        <v>-0.14650336640612913</v>
      </c>
    </row>
    <row r="831" spans="1:6">
      <c r="A831" s="6" t="str">
        <f>Base_de_dados!A831</f>
        <v>Ad_23</v>
      </c>
      <c r="B831" s="8">
        <f>Base_de_dados!G831/Base_de_dados!F831</f>
        <v>1.3094892422612033E-2</v>
      </c>
      <c r="C831" s="9">
        <f>Base_de_dados!G831/Base_de_dados!H831</f>
        <v>3.4832652317287223E-2</v>
      </c>
      <c r="D831" s="9">
        <f>Base_de_dados!I831*300</f>
        <v>0</v>
      </c>
      <c r="E831" s="10" t="e">
        <f>Base_de_dados!H831/Base_de_dados!I831</f>
        <v>#DIV/0!</v>
      </c>
      <c r="F831" s="11">
        <f>(D831-Base_de_dados!H831)/Base_de_dados!H831</f>
        <v>-1</v>
      </c>
    </row>
    <row r="832" spans="1:6">
      <c r="A832" s="6" t="str">
        <f>Base_de_dados!A832</f>
        <v>Ad_23</v>
      </c>
      <c r="B832" s="8">
        <f>Base_de_dados!G832/Base_de_dados!F832</f>
        <v>1.248175016831451E-2</v>
      </c>
      <c r="C832" s="9">
        <f>Base_de_dados!G832/Base_de_dados!H832</f>
        <v>3.626373604854486E-2</v>
      </c>
      <c r="D832" s="9">
        <f>Base_de_dados!I832*300</f>
        <v>120000</v>
      </c>
      <c r="E832" s="10">
        <f>Base_de_dados!H832/Base_de_dados!I832</f>
        <v>227.50000135000002</v>
      </c>
      <c r="F832" s="11">
        <f>(D832-Base_de_dados!H832)/Base_de_dados!H832</f>
        <v>0.31868131085617674</v>
      </c>
    </row>
    <row r="833" spans="1:6">
      <c r="A833" s="6" t="str">
        <f>Base_de_dados!A833</f>
        <v>Ad_23</v>
      </c>
      <c r="B833" s="8">
        <f>Base_de_dados!G833/Base_de_dados!F833</f>
        <v>1.3275785435235221E-2</v>
      </c>
      <c r="C833" s="9">
        <f>Base_de_dados!G833/Base_de_dados!H833</f>
        <v>3.8098754567926121E-2</v>
      </c>
      <c r="D833" s="9">
        <f>Base_de_dados!I833*300</f>
        <v>135000</v>
      </c>
      <c r="E833" s="10">
        <f>Base_de_dados!H833/Base_de_dados!I833</f>
        <v>662.02222377777787</v>
      </c>
      <c r="F833" s="11">
        <f>(D833-Base_de_dados!H833)/Base_de_dados!H833</f>
        <v>-0.54684300734184788</v>
      </c>
    </row>
    <row r="834" spans="1:6">
      <c r="A834" s="6" t="str">
        <f>Base_de_dados!A834</f>
        <v>Ad_23</v>
      </c>
      <c r="B834" s="8">
        <f>Base_de_dados!G834/Base_de_dados!F834</f>
        <v>1.4969137161323271E-2</v>
      </c>
      <c r="C834" s="9">
        <f>Base_de_dados!G834/Base_de_dados!H834</f>
        <v>3.3803936868686969E-2</v>
      </c>
      <c r="D834" s="9">
        <f>Base_de_dados!I834*300</f>
        <v>15000</v>
      </c>
      <c r="E834" s="10">
        <f>Base_de_dados!H834/Base_de_dados!I834</f>
        <v>1005.8000088000001</v>
      </c>
      <c r="F834" s="11">
        <f>(D834-Base_de_dados!H834)/Base_de_dados!H834</f>
        <v>-0.70172996880570326</v>
      </c>
    </row>
    <row r="835" spans="1:6">
      <c r="A835" s="6" t="str">
        <f>Base_de_dados!A835</f>
        <v>Ad_23</v>
      </c>
      <c r="B835" s="8">
        <f>Base_de_dados!G835/Base_de_dados!F835</f>
        <v>1.3123933680388469E-2</v>
      </c>
      <c r="C835" s="9">
        <f>Base_de_dados!G835/Base_de_dados!H835</f>
        <v>3.1847134305651351E-2</v>
      </c>
      <c r="D835" s="9">
        <f>Base_de_dados!I835*300</f>
        <v>30000</v>
      </c>
      <c r="E835" s="10">
        <f>Base_de_dados!H835/Base_de_dados!I835</f>
        <v>94.199998380000011</v>
      </c>
      <c r="F835" s="11">
        <f>(D835-Base_de_dados!H835)/Base_de_dados!H835</f>
        <v>2.1847134305651346</v>
      </c>
    </row>
    <row r="836" spans="1:6">
      <c r="A836" s="6" t="str">
        <f>Base_de_dados!A836</f>
        <v>Ad_23</v>
      </c>
      <c r="B836" s="8">
        <f>Base_de_dados!G836/Base_de_dados!F836</f>
        <v>1.2559415697337404E-2</v>
      </c>
      <c r="C836" s="9">
        <f>Base_de_dados!G836/Base_de_dados!H836</f>
        <v>3.1676413286234321E-2</v>
      </c>
      <c r="D836" s="9">
        <f>Base_de_dados!I836*300</f>
        <v>45000</v>
      </c>
      <c r="E836" s="10">
        <f>Base_de_dados!H836/Base_de_dados!I836</f>
        <v>136.79999986666667</v>
      </c>
      <c r="F836" s="11">
        <f>(D836-Base_de_dados!H836)/Base_de_dados!H836</f>
        <v>1.1929824582777606</v>
      </c>
    </row>
    <row r="837" spans="1:6">
      <c r="A837" s="6" t="str">
        <f>Base_de_dados!A837</f>
        <v>Ad_23</v>
      </c>
      <c r="B837" s="8">
        <f>Base_de_dados!G837/Base_de_dados!F837</f>
        <v>1.3416772882785323E-2</v>
      </c>
      <c r="C837" s="9">
        <f>Base_de_dados!G837/Base_de_dados!H837</f>
        <v>3.6706869495791314E-2</v>
      </c>
      <c r="D837" s="9">
        <f>Base_de_dados!I837*300</f>
        <v>90000</v>
      </c>
      <c r="E837" s="10">
        <f>Base_de_dados!H837/Base_de_dados!I837</f>
        <v>127.13333310000002</v>
      </c>
      <c r="F837" s="11">
        <f>(D837-Base_de_dados!H837)/Base_de_dados!H837</f>
        <v>1.3597273247294415</v>
      </c>
    </row>
    <row r="838" spans="1:6">
      <c r="A838" s="6" t="str">
        <f>Base_de_dados!A838</f>
        <v>Ad_23</v>
      </c>
      <c r="B838" s="8">
        <f>Base_de_dados!G838/Base_de_dados!F838</f>
        <v>1.2372512104653595E-2</v>
      </c>
      <c r="C838" s="9">
        <f>Base_de_dados!G838/Base_de_dados!H838</f>
        <v>3.4142906826066403E-2</v>
      </c>
      <c r="D838" s="9">
        <f>Base_de_dados!I838*300</f>
        <v>75000</v>
      </c>
      <c r="E838" s="10">
        <f>Base_de_dados!H838/Base_de_dados!I838</f>
        <v>568.20001000000002</v>
      </c>
      <c r="F838" s="11">
        <f>(D838-Base_de_dados!H838)/Base_de_dados!H838</f>
        <v>-0.47201690475155045</v>
      </c>
    </row>
    <row r="839" spans="1:6">
      <c r="A839" s="6" t="str">
        <f>Base_de_dados!A839</f>
        <v>Ad_23</v>
      </c>
      <c r="B839" s="8">
        <f>Base_de_dados!G839/Base_de_dados!F839</f>
        <v>1.2689487344711274E-2</v>
      </c>
      <c r="C839" s="9">
        <f>Base_de_dados!G839/Base_de_dados!H839</f>
        <v>3.5048471063569411E-2</v>
      </c>
      <c r="D839" s="9">
        <f>Base_de_dados!I839*300</f>
        <v>105000</v>
      </c>
      <c r="E839" s="10">
        <f>Base_de_dados!H839/Base_de_dados!I839</f>
        <v>1149.4285788571428</v>
      </c>
      <c r="F839" s="11">
        <f>(D839-Base_de_dados!H839)/Base_de_dados!H839</f>
        <v>-0.73900074739895116</v>
      </c>
    </row>
    <row r="840" spans="1:6">
      <c r="A840" s="6" t="str">
        <f>Base_de_dados!A840</f>
        <v>Ad_23</v>
      </c>
      <c r="B840" s="8">
        <f>Base_de_dados!G840/Base_de_dados!F840</f>
        <v>1.3675509383503362E-2</v>
      </c>
      <c r="C840" s="9">
        <f>Base_de_dados!G840/Base_de_dados!H840</f>
        <v>3.6723164072336244E-2</v>
      </c>
      <c r="D840" s="9">
        <f>Base_de_dados!I840*300</f>
        <v>45000</v>
      </c>
      <c r="E840" s="10">
        <f>Base_de_dados!H840/Base_de_dados!I840</f>
        <v>1061.9999933333334</v>
      </c>
      <c r="F840" s="11">
        <f>(D840-Base_de_dados!H840)/Base_de_dados!H840</f>
        <v>-0.7175141225204904</v>
      </c>
    </row>
    <row r="841" spans="1:6">
      <c r="A841" s="6" t="str">
        <f>Base_de_dados!A841</f>
        <v>Ad_23</v>
      </c>
      <c r="B841" s="8">
        <f>Base_de_dados!G841/Base_de_dados!F841</f>
        <v>1.2675759660140515E-2</v>
      </c>
      <c r="C841" s="9">
        <f>Base_de_dados!G841/Base_de_dados!H841</f>
        <v>3.5113084950954131E-2</v>
      </c>
      <c r="D841" s="9">
        <f>Base_de_dados!I841*300</f>
        <v>60000</v>
      </c>
      <c r="E841" s="10">
        <f>Base_de_dados!H841/Base_de_dados!I841</f>
        <v>968.29999549999991</v>
      </c>
      <c r="F841" s="11">
        <f>(D841-Base_de_dados!H841)/Base_de_dados!H841</f>
        <v>-0.6901786621974636</v>
      </c>
    </row>
    <row r="842" spans="1:6">
      <c r="A842" s="6" t="str">
        <f>Base_de_dados!A842</f>
        <v>Ad_23</v>
      </c>
      <c r="B842" s="8">
        <f>Base_de_dados!G842/Base_de_dados!F842</f>
        <v>1.1951482539717834E-2</v>
      </c>
      <c r="C842" s="9">
        <f>Base_de_dados!G842/Base_de_dados!H842</f>
        <v>3.2166368060636608E-2</v>
      </c>
      <c r="D842" s="9">
        <f>Base_de_dados!I842*300</f>
        <v>30000</v>
      </c>
      <c r="E842" s="10">
        <f>Base_de_dados!H842/Base_de_dados!I842</f>
        <v>668.39998720000006</v>
      </c>
      <c r="F842" s="11">
        <f>(D842-Base_de_dados!H842)/Base_de_dados!H842</f>
        <v>-0.55116695729344267</v>
      </c>
    </row>
    <row r="843" spans="1:6">
      <c r="A843" s="6" t="str">
        <f>Base_de_dados!A843</f>
        <v>Ad_23</v>
      </c>
      <c r="B843" s="8">
        <f>Base_de_dados!G843/Base_de_dados!F843</f>
        <v>1.364918875890323E-2</v>
      </c>
      <c r="C843" s="9">
        <f>Base_de_dados!G843/Base_de_dados!H843</f>
        <v>3.6659763666749681E-2</v>
      </c>
      <c r="D843" s="9">
        <f>Base_de_dados!I843*300</f>
        <v>60000</v>
      </c>
      <c r="E843" s="10">
        <f>Base_de_dados!H843/Base_de_dados!I843</f>
        <v>893.35000350000007</v>
      </c>
      <c r="F843" s="11">
        <f>(D843-Base_de_dados!H843)/Base_de_dados!H843</f>
        <v>-0.66418537099160602</v>
      </c>
    </row>
    <row r="844" spans="1:6">
      <c r="A844" s="6" t="str">
        <f>Base_de_dados!A844</f>
        <v>Ad_23</v>
      </c>
      <c r="B844" s="8">
        <f>Base_de_dados!G844/Base_de_dados!F844</f>
        <v>1.270023809457351E-2</v>
      </c>
      <c r="C844" s="9">
        <f>Base_de_dados!G844/Base_de_dados!H844</f>
        <v>3.4903344289707892E-2</v>
      </c>
      <c r="D844" s="9">
        <f>Base_de_dados!I844*300</f>
        <v>45000</v>
      </c>
      <c r="E844" s="10">
        <f>Base_de_dados!H844/Base_de_dados!I844</f>
        <v>869.06667400000003</v>
      </c>
      <c r="F844" s="11">
        <f>(D844-Base_de_dados!H844)/Base_de_dados!H844</f>
        <v>-0.65480208944244944</v>
      </c>
    </row>
    <row r="845" spans="1:6">
      <c r="A845" s="6" t="str">
        <f>Base_de_dados!A845</f>
        <v>Ad_23</v>
      </c>
      <c r="B845" s="8">
        <f>Base_de_dados!G845/Base_de_dados!F845</f>
        <v>1.2691526675281522E-2</v>
      </c>
      <c r="C845" s="9">
        <f>Base_de_dados!G845/Base_de_dados!H845</f>
        <v>3.8307504855141054E-2</v>
      </c>
      <c r="D845" s="9">
        <f>Base_de_dados!I845*300</f>
        <v>15000</v>
      </c>
      <c r="E845" s="10">
        <f>Base_de_dados!H845/Base_de_dados!I845</f>
        <v>2297.1999959999998</v>
      </c>
      <c r="F845" s="11">
        <f>(D845-Base_de_dados!H845)/Base_de_dados!H845</f>
        <v>-0.86940623344838275</v>
      </c>
    </row>
    <row r="846" spans="1:6">
      <c r="A846" s="6" t="str">
        <f>Base_de_dados!A846</f>
        <v>Ad_23</v>
      </c>
      <c r="B846" s="8">
        <f>Base_de_dados!G846/Base_de_dados!F846</f>
        <v>1.0774587885826942E-2</v>
      </c>
      <c r="C846" s="9">
        <f>Base_de_dados!G846/Base_de_dados!H846</f>
        <v>3.4918702723993673E-2</v>
      </c>
      <c r="D846" s="9">
        <f>Base_de_dados!I846*300</f>
        <v>225000</v>
      </c>
      <c r="E846" s="10">
        <f>Base_de_dados!H846/Base_de_dados!I846</f>
        <v>372.29332666666664</v>
      </c>
      <c r="F846" s="11">
        <f>(D846-Base_de_dados!H846)/Base_de_dados!H846</f>
        <v>-0.19418378329245367</v>
      </c>
    </row>
    <row r="847" spans="1:6">
      <c r="A847" s="6" t="str">
        <f>Base_de_dados!A847</f>
        <v>Ad_23</v>
      </c>
      <c r="B847" s="8">
        <f>Base_de_dados!G847/Base_de_dados!F847</f>
        <v>9.0790299862541796E-3</v>
      </c>
      <c r="C847" s="9">
        <f>Base_de_dados!G847/Base_de_dados!H847</f>
        <v>3.3850046960739587E-2</v>
      </c>
      <c r="D847" s="9">
        <f>Base_de_dados!I847*300</f>
        <v>165000</v>
      </c>
      <c r="E847" s="10">
        <f>Base_de_dados!H847/Base_de_dados!I847</f>
        <v>287.36364054545453</v>
      </c>
      <c r="F847" s="11">
        <f>(D847-Base_de_dados!H847)/Base_de_dados!H847</f>
        <v>4.3973410938697645E-2</v>
      </c>
    </row>
    <row r="848" spans="1:6">
      <c r="A848" s="6" t="str">
        <f>Base_de_dados!A848</f>
        <v>Ad_23</v>
      </c>
      <c r="B848" s="8">
        <f>Base_de_dados!G848/Base_de_dados!F848</f>
        <v>7.1126284718517731E-3</v>
      </c>
      <c r="C848" s="9">
        <f>Base_de_dados!G848/Base_de_dados!H848</f>
        <v>3.3324075988333965E-2</v>
      </c>
      <c r="D848" s="9">
        <f>Base_de_dados!I848*300</f>
        <v>15000</v>
      </c>
      <c r="E848" s="10">
        <f>Base_de_dados!H848/Base_de_dados!I848</f>
        <v>720.20001420000006</v>
      </c>
      <c r="F848" s="11">
        <f>(D848-Base_de_dados!H848)/Base_de_dados!H848</f>
        <v>-0.58344905014582549</v>
      </c>
    </row>
    <row r="849" spans="1:6">
      <c r="A849" s="6" t="str">
        <f>Base_de_dados!A849</f>
        <v>Ad_23</v>
      </c>
      <c r="B849" s="8">
        <f>Base_de_dados!G849/Base_de_dados!F849</f>
        <v>7.6407990886610544E-3</v>
      </c>
      <c r="C849" s="9">
        <f>Base_de_dados!G849/Base_de_dados!H849</f>
        <v>3.3659729671575142E-2</v>
      </c>
      <c r="D849" s="9">
        <f>Base_de_dados!I849*300</f>
        <v>0</v>
      </c>
      <c r="E849" s="10" t="e">
        <f>Base_de_dados!H849/Base_de_dados!I849</f>
        <v>#DIV/0!</v>
      </c>
      <c r="F849" s="11">
        <f>(D849-Base_de_dados!H849)/Base_de_dados!H849</f>
        <v>-1</v>
      </c>
    </row>
    <row r="850" spans="1:6">
      <c r="A850" s="6" t="str">
        <f>Base_de_dados!A850</f>
        <v>Ad_23</v>
      </c>
      <c r="B850" s="8">
        <f>Base_de_dados!G850/Base_de_dados!F850</f>
        <v>9.8448804831509345E-3</v>
      </c>
      <c r="C850" s="9">
        <f>Base_de_dados!G850/Base_de_dados!H850</f>
        <v>3.3817019703286703E-2</v>
      </c>
      <c r="D850" s="9">
        <f>Base_de_dados!I850*300</f>
        <v>300000</v>
      </c>
      <c r="E850" s="10">
        <f>Base_de_dados!H850/Base_de_dados!I850</f>
        <v>162.63999749999999</v>
      </c>
      <c r="F850" s="11">
        <f>(D850-Base_de_dados!H850)/Base_de_dados!H850</f>
        <v>0.84456471108836562</v>
      </c>
    </row>
    <row r="851" spans="1:6">
      <c r="A851" s="6" t="str">
        <f>Base_de_dados!A851</f>
        <v>Ad_23</v>
      </c>
      <c r="B851" s="8">
        <f>Base_de_dados!G851/Base_de_dados!F851</f>
        <v>1.0507959220175282E-2</v>
      </c>
      <c r="C851" s="9">
        <f>Base_de_dados!G851/Base_de_dados!H851</f>
        <v>3.5205993110634187E-2</v>
      </c>
      <c r="D851" s="9">
        <f>Base_de_dados!I851*300</f>
        <v>195000</v>
      </c>
      <c r="E851" s="10">
        <f>Base_de_dados!H851/Base_de_dados!I851</f>
        <v>513.46152969230775</v>
      </c>
      <c r="F851" s="11">
        <f>(D851-Base_de_dados!H851)/Base_de_dados!H851</f>
        <v>-0.41573032710011348</v>
      </c>
    </row>
    <row r="852" spans="1:6">
      <c r="A852" s="6" t="str">
        <f>Base_de_dados!A852</f>
        <v>Ad_23</v>
      </c>
      <c r="B852" s="8">
        <f>Base_de_dados!G852/Base_de_dados!F852</f>
        <v>1.0737628384687208E-2</v>
      </c>
      <c r="C852" s="9">
        <f>Base_de_dados!G852/Base_de_dados!H852</f>
        <v>3.411450556516174E-2</v>
      </c>
      <c r="D852" s="9">
        <f>Base_de_dados!I852*300</f>
        <v>0</v>
      </c>
      <c r="E852" s="10" t="e">
        <f>Base_de_dados!H852/Base_de_dados!I852</f>
        <v>#DIV/0!</v>
      </c>
      <c r="F852" s="11">
        <f>(D852-Base_de_dados!H852)/Base_de_dados!H852</f>
        <v>-1</v>
      </c>
    </row>
    <row r="853" spans="1:6">
      <c r="A853" s="6" t="str">
        <f>Base_de_dados!A853</f>
        <v>Ad_23</v>
      </c>
      <c r="B853" s="8">
        <f>Base_de_dados!G853/Base_de_dados!F853</f>
        <v>9.1140151907848199E-3</v>
      </c>
      <c r="C853" s="9">
        <f>Base_de_dados!G853/Base_de_dados!H853</f>
        <v>3.439528777162542E-2</v>
      </c>
      <c r="D853" s="9">
        <f>Base_de_dados!I853*300</f>
        <v>210000</v>
      </c>
      <c r="E853" s="10">
        <f>Base_de_dados!H853/Base_de_dados!I853</f>
        <v>332.27142928571431</v>
      </c>
      <c r="F853" s="11">
        <f>(D853-Base_de_dados!H853)/Base_de_dados!H853</f>
        <v>-9.712369599483274E-2</v>
      </c>
    </row>
    <row r="854" spans="1:6">
      <c r="A854" s="6" t="str">
        <f>Base_de_dados!A854</f>
        <v>Ad_23</v>
      </c>
      <c r="B854" s="8">
        <f>Base_de_dados!G854/Base_de_dados!F854</f>
        <v>7.7644135750183519E-3</v>
      </c>
      <c r="C854" s="9">
        <f>Base_de_dados!G854/Base_de_dados!H854</f>
        <v>3.4598448268485904E-2</v>
      </c>
      <c r="D854" s="9">
        <f>Base_de_dados!I854*300</f>
        <v>105000</v>
      </c>
      <c r="E854" s="10">
        <f>Base_de_dados!H854/Base_de_dados!I854</f>
        <v>136.25714302857145</v>
      </c>
      <c r="F854" s="11">
        <f>(D854-Base_de_dados!H854)/Base_de_dados!H854</f>
        <v>1.2017194352672851</v>
      </c>
    </row>
    <row r="855" spans="1:6">
      <c r="A855" s="6" t="str">
        <f>Base_de_dados!A855</f>
        <v>Ad_23</v>
      </c>
      <c r="B855" s="8">
        <f>Base_de_dados!G855/Base_de_dados!F855</f>
        <v>1.1152682884083795E-2</v>
      </c>
      <c r="C855" s="9">
        <f>Base_de_dados!G855/Base_de_dados!H855</f>
        <v>3.5176861736873122E-2</v>
      </c>
      <c r="D855" s="9">
        <f>Base_de_dados!I855*300</f>
        <v>195000</v>
      </c>
      <c r="E855" s="10">
        <f>Base_de_dados!H855/Base_de_dados!I855</f>
        <v>551.06153384615391</v>
      </c>
      <c r="F855" s="11">
        <f>(D855-Base_de_dados!H855)/Base_de_dados!H855</f>
        <v>-0.45559618740553498</v>
      </c>
    </row>
    <row r="856" spans="1:6">
      <c r="A856" s="6" t="str">
        <f>Base_de_dados!A856</f>
        <v>Ad_23</v>
      </c>
      <c r="B856" s="8">
        <f>Base_de_dados!G856/Base_de_dados!F856</f>
        <v>9.4110413474101599E-3</v>
      </c>
      <c r="C856" s="9">
        <f>Base_de_dados!G856/Base_de_dados!H856</f>
        <v>3.4506555551110284E-2</v>
      </c>
      <c r="D856" s="9">
        <f>Base_de_dados!I856*300</f>
        <v>30000</v>
      </c>
      <c r="E856" s="10">
        <f>Base_de_dados!H856/Base_de_dados!I856</f>
        <v>1738.800035</v>
      </c>
      <c r="F856" s="11">
        <f>(D856-Base_de_dados!H856)/Base_de_dados!H856</f>
        <v>-0.82746722224444857</v>
      </c>
    </row>
    <row r="857" spans="1:6">
      <c r="A857" s="6" t="str">
        <f>Base_de_dados!A857</f>
        <v>Ad_23</v>
      </c>
      <c r="B857" s="8">
        <f>Base_de_dados!G857/Base_de_dados!F857</f>
        <v>9.2390335970857444E-3</v>
      </c>
      <c r="C857" s="9">
        <f>Base_de_dados!G857/Base_de_dados!H857</f>
        <v>3.4748076885617256E-2</v>
      </c>
      <c r="D857" s="9">
        <f>Base_de_dados!I857*300</f>
        <v>15000</v>
      </c>
      <c r="E857" s="10">
        <f>Base_de_dados!H857/Base_de_dados!I857</f>
        <v>805.79998980000005</v>
      </c>
      <c r="F857" s="11">
        <f>(D857-Base_de_dados!H857)/Base_de_dados!H857</f>
        <v>-0.6276991762255294</v>
      </c>
    </row>
    <row r="858" spans="1:6">
      <c r="A858" s="6" t="str">
        <f>Base_de_dados!A858</f>
        <v>Ad_23</v>
      </c>
      <c r="B858" s="8">
        <f>Base_de_dados!G858/Base_de_dados!F858</f>
        <v>8.5415683331793741E-3</v>
      </c>
      <c r="C858" s="9">
        <f>Base_de_dados!G858/Base_de_dados!H858</f>
        <v>3.3969100614037795E-2</v>
      </c>
      <c r="D858" s="9">
        <f>Base_de_dados!I858*300</f>
        <v>135000</v>
      </c>
      <c r="E858" s="10">
        <f>Base_de_dados!H858/Base_de_dados!I858</f>
        <v>441.57777888888887</v>
      </c>
      <c r="F858" s="11">
        <f>(D858-Base_de_dados!H858)/Base_de_dados!H858</f>
        <v>-0.32061798771924416</v>
      </c>
    </row>
    <row r="859" spans="1:6">
      <c r="A859" s="6" t="str">
        <f>Base_de_dados!A859</f>
        <v>Ad_23</v>
      </c>
      <c r="B859" s="8">
        <f>Base_de_dados!G859/Base_de_dados!F859</f>
        <v>1.1107625092319955E-2</v>
      </c>
      <c r="C859" s="9">
        <f>Base_de_dados!G859/Base_de_dados!H859</f>
        <v>3.4418211730835549E-2</v>
      </c>
      <c r="D859" s="9">
        <f>Base_de_dados!I859*300</f>
        <v>120000</v>
      </c>
      <c r="E859" s="10">
        <f>Base_de_dados!H859/Base_de_dados!I859</f>
        <v>414.02499675000001</v>
      </c>
      <c r="F859" s="11">
        <f>(D859-Base_de_dados!H859)/Base_de_dados!H859</f>
        <v>-0.27540606882451474</v>
      </c>
    </row>
    <row r="860" spans="1:6">
      <c r="A860" s="6" t="str">
        <f>Base_de_dados!A860</f>
        <v>Ad_24</v>
      </c>
      <c r="B860" s="8">
        <f>Base_de_dados!G860/Base_de_dados!F860</f>
        <v>8.29677007818359E-3</v>
      </c>
      <c r="C860" s="9">
        <f>Base_de_dados!G860/Base_de_dados!H860</f>
        <v>3.1161472986931692E-2</v>
      </c>
      <c r="D860" s="9">
        <f>Base_de_dados!I860*300</f>
        <v>180000</v>
      </c>
      <c r="E860" s="10">
        <f>Base_de_dados!H860/Base_de_dados!I860</f>
        <v>205.91666733333335</v>
      </c>
      <c r="F860" s="11">
        <f>(D860-Base_de_dados!H860)/Base_de_dados!H860</f>
        <v>0.45690003575265059</v>
      </c>
    </row>
    <row r="861" spans="1:6">
      <c r="A861" s="6" t="str">
        <f>Base_de_dados!A861</f>
        <v>Ad_24</v>
      </c>
      <c r="B861" s="8">
        <f>Base_de_dados!G861/Base_de_dados!F861</f>
        <v>7.8373181742183579E-3</v>
      </c>
      <c r="C861" s="9">
        <f>Base_de_dados!G861/Base_de_dados!H861</f>
        <v>2.7624309148072401E-2</v>
      </c>
      <c r="D861" s="9">
        <f>Base_de_dados!I861*300</f>
        <v>165000</v>
      </c>
      <c r="E861" s="10">
        <f>Base_de_dados!H861/Base_de_dados!I861</f>
        <v>246.81818400000006</v>
      </c>
      <c r="F861" s="11">
        <f>(D861-Base_de_dados!H861)/Base_de_dados!H861</f>
        <v>0.21546960251518557</v>
      </c>
    </row>
    <row r="862" spans="1:6">
      <c r="A862" s="6" t="str">
        <f>Base_de_dados!A862</f>
        <v>Ad_24</v>
      </c>
      <c r="B862" s="8">
        <f>Base_de_dados!G862/Base_de_dados!F862</f>
        <v>7.6956801582045275E-3</v>
      </c>
      <c r="C862" s="9">
        <f>Base_de_dados!G862/Base_de_dados!H862</f>
        <v>2.8234086218143321E-2</v>
      </c>
      <c r="D862" s="9">
        <f>Base_de_dados!I862*300</f>
        <v>210000</v>
      </c>
      <c r="E862" s="10">
        <f>Base_de_dados!H862/Base_de_dados!I862</f>
        <v>166.97142871428571</v>
      </c>
      <c r="F862" s="11">
        <f>(D862-Base_de_dados!H862)/Base_de_dados!H862</f>
        <v>0.79671457751821129</v>
      </c>
    </row>
    <row r="863" spans="1:6">
      <c r="A863" s="6" t="str">
        <f>Base_de_dados!A863</f>
        <v>Ad_24</v>
      </c>
      <c r="B863" s="8">
        <f>Base_de_dados!G863/Base_de_dados!F863</f>
        <v>9.3840098171179623E-3</v>
      </c>
      <c r="C863" s="9">
        <f>Base_de_dados!G863/Base_de_dados!H863</f>
        <v>3.02193293573336E-2</v>
      </c>
      <c r="D863" s="9">
        <f>Base_de_dados!I863*300</f>
        <v>375000</v>
      </c>
      <c r="E863" s="10">
        <f>Base_de_dados!H863/Base_de_dados!I863</f>
        <v>292.52800071999997</v>
      </c>
      <c r="F863" s="11">
        <f>(D863-Base_de_dados!H863)/Base_de_dados!H863</f>
        <v>2.5542851493221708E-2</v>
      </c>
    </row>
    <row r="864" spans="1:6">
      <c r="A864" s="6" t="str">
        <f>Base_de_dados!A864</f>
        <v>Ad_24</v>
      </c>
      <c r="B864" s="8">
        <f>Base_de_dados!G864/Base_de_dados!F864</f>
        <v>8.440797186400938E-3</v>
      </c>
      <c r="C864" s="9">
        <f>Base_de_dados!G864/Base_de_dados!H864</f>
        <v>2.8063611113784952E-2</v>
      </c>
      <c r="D864" s="9">
        <f>Base_de_dados!I864*300</f>
        <v>195000</v>
      </c>
      <c r="E864" s="10">
        <f>Base_de_dados!H864/Base_de_dados!I864</f>
        <v>197.3538443076923</v>
      </c>
      <c r="F864" s="11">
        <f>(D864-Base_de_dados!H864)/Base_de_dados!H864</f>
        <v>0.52011226866335158</v>
      </c>
    </row>
    <row r="865" spans="1:6">
      <c r="A865" s="6" t="str">
        <f>Base_de_dados!A865</f>
        <v>Ad_24</v>
      </c>
      <c r="B865" s="8">
        <f>Base_de_dados!G865/Base_de_dados!F865</f>
        <v>6.4531592824086876E-3</v>
      </c>
      <c r="C865" s="9">
        <f>Base_de_dados!G865/Base_de_dados!H865</f>
        <v>3.2467532919307041E-2</v>
      </c>
      <c r="D865" s="9">
        <f>Base_de_dados!I865*300</f>
        <v>165000</v>
      </c>
      <c r="E865" s="10">
        <f>Base_de_dados!H865/Base_de_dados!I865</f>
        <v>19.599999727272728</v>
      </c>
      <c r="F865" s="11">
        <f>(D865-Base_de_dados!H865)/Base_de_dados!H865</f>
        <v>14.306122661959035</v>
      </c>
    </row>
    <row r="866" spans="1:6">
      <c r="A866" s="6" t="str">
        <f>Base_de_dados!A866</f>
        <v>Ad_24</v>
      </c>
      <c r="B866" s="8">
        <f>Base_de_dados!G866/Base_de_dados!F866</f>
        <v>8.7785747540026354E-3</v>
      </c>
      <c r="C866" s="9">
        <f>Base_de_dados!G866/Base_de_dados!H866</f>
        <v>3.3283470804763349E-2</v>
      </c>
      <c r="D866" s="9">
        <f>Base_de_dados!I866*300</f>
        <v>165000</v>
      </c>
      <c r="E866" s="10">
        <f>Base_de_dados!H866/Base_de_dados!I866</f>
        <v>243.09090654545454</v>
      </c>
      <c r="F866" s="11">
        <f>(D866-Base_de_dados!H866)/Base_de_dados!H866</f>
        <v>0.23410622085077576</v>
      </c>
    </row>
    <row r="867" spans="1:6">
      <c r="A867" s="6" t="str">
        <f>Base_de_dados!A867</f>
        <v>Ad_24</v>
      </c>
      <c r="B867" s="8">
        <f>Base_de_dados!G867/Base_de_dados!F867</f>
        <v>8.3678673892253752E-3</v>
      </c>
      <c r="C867" s="9">
        <f>Base_de_dados!G867/Base_de_dados!H867</f>
        <v>3.2367447835024279E-2</v>
      </c>
      <c r="D867" s="9">
        <f>Base_de_dados!I867*300</f>
        <v>150000</v>
      </c>
      <c r="E867" s="10">
        <f>Base_de_dados!H867/Base_de_dados!I867</f>
        <v>129.75999904</v>
      </c>
      <c r="F867" s="11">
        <f>(D867-Base_de_dados!H867)/Base_de_dados!H867</f>
        <v>1.3119605596445911</v>
      </c>
    </row>
    <row r="868" spans="1:6">
      <c r="A868" s="6" t="str">
        <f>Base_de_dados!A868</f>
        <v>Ad_24</v>
      </c>
      <c r="B868" s="8">
        <f>Base_de_dados!G868/Base_de_dados!F868</f>
        <v>7.7201398985577993E-3</v>
      </c>
      <c r="C868" s="9">
        <f>Base_de_dados!G868/Base_de_dados!H868</f>
        <v>2.9251880973012429E-2</v>
      </c>
      <c r="D868" s="9">
        <f>Base_de_dados!I868*300</f>
        <v>465000</v>
      </c>
      <c r="E868" s="10">
        <f>Base_de_dados!H868/Base_de_dados!I868</f>
        <v>389.27742064516127</v>
      </c>
      <c r="F868" s="11">
        <f>(D868-Base_de_dados!H868)/Base_de_dados!H868</f>
        <v>-0.22934137946454511</v>
      </c>
    </row>
    <row r="869" spans="1:6">
      <c r="A869" s="6" t="str">
        <f>Base_de_dados!A869</f>
        <v>Ad_24</v>
      </c>
      <c r="B869" s="8">
        <f>Base_de_dados!G869/Base_de_dados!F869</f>
        <v>6.8272359743995039E-3</v>
      </c>
      <c r="C869" s="9">
        <f>Base_de_dados!G869/Base_de_dados!H869</f>
        <v>2.8336960592750093E-2</v>
      </c>
      <c r="D869" s="9">
        <f>Base_de_dados!I869*300</f>
        <v>225000</v>
      </c>
      <c r="E869" s="10">
        <f>Base_de_dados!H869/Base_de_dados!I869</f>
        <v>294.07999866666665</v>
      </c>
      <c r="F869" s="11">
        <f>(D869-Base_de_dados!H869)/Base_de_dados!H869</f>
        <v>2.0130581339003313E-2</v>
      </c>
    </row>
    <row r="870" spans="1:6">
      <c r="A870" s="6" t="str">
        <f>Base_de_dados!A870</f>
        <v>Ad_24</v>
      </c>
      <c r="B870" s="8">
        <f>Base_de_dados!G870/Base_de_dados!F870</f>
        <v>6.2704573671603604E-3</v>
      </c>
      <c r="C870" s="9">
        <f>Base_de_dados!G870/Base_de_dados!H870</f>
        <v>2.9498525091149572E-2</v>
      </c>
      <c r="D870" s="9">
        <f>Base_de_dados!I870*300</f>
        <v>180000</v>
      </c>
      <c r="E870" s="10">
        <f>Base_de_dados!H870/Base_de_dados!I870</f>
        <v>56.499999966666671</v>
      </c>
      <c r="F870" s="11">
        <f>(D870-Base_de_dados!H870)/Base_de_dados!H870</f>
        <v>4.3097345164069232</v>
      </c>
    </row>
    <row r="871" spans="1:6">
      <c r="A871" s="6" t="str">
        <f>Base_de_dados!A871</f>
        <v>Ad_24</v>
      </c>
      <c r="B871" s="8">
        <f>Base_de_dados!G871/Base_de_dados!F871</f>
        <v>7.7303397118129351E-3</v>
      </c>
      <c r="C871" s="9">
        <f>Base_de_dados!G871/Base_de_dados!H871</f>
        <v>2.9783364907963857E-2</v>
      </c>
      <c r="D871" s="9">
        <f>Base_de_dados!I871*300</f>
        <v>270000</v>
      </c>
      <c r="E871" s="10">
        <f>Base_de_dados!H871/Base_de_dados!I871</f>
        <v>354.41111466666672</v>
      </c>
      <c r="F871" s="11">
        <f>(D871-Base_de_dados!H871)/Base_de_dados!H871</f>
        <v>-0.15352541840523776</v>
      </c>
    </row>
    <row r="872" spans="1:6">
      <c r="A872" s="6" t="str">
        <f>Base_de_dados!A872</f>
        <v>Ad_24</v>
      </c>
      <c r="B872" s="8">
        <f>Base_de_dados!G872/Base_de_dados!F872</f>
        <v>7.1407027517284231E-3</v>
      </c>
      <c r="C872" s="9">
        <f>Base_de_dados!G872/Base_de_dados!H872</f>
        <v>2.6946589435751855E-2</v>
      </c>
      <c r="D872" s="9">
        <f>Base_de_dados!I872*300</f>
        <v>255000</v>
      </c>
      <c r="E872" s="10">
        <f>Base_de_dados!H872/Base_de_dados!I872</f>
        <v>292.51764717647058</v>
      </c>
      <c r="F872" s="11">
        <f>(D872-Base_de_dados!H872)/Base_de_dados!H872</f>
        <v>2.5579150166675033E-2</v>
      </c>
    </row>
    <row r="873" spans="1:6">
      <c r="A873" s="6" t="str">
        <f>Base_de_dados!A873</f>
        <v>Ad_24</v>
      </c>
      <c r="B873" s="8">
        <f>Base_de_dados!G873/Base_de_dados!F873</f>
        <v>8.4103201097223308E-3</v>
      </c>
      <c r="C873" s="9">
        <f>Base_de_dados!G873/Base_de_dados!H873</f>
        <v>3.1761544045362612E-2</v>
      </c>
      <c r="D873" s="9">
        <f>Base_de_dados!I873*300</f>
        <v>150000</v>
      </c>
      <c r="E873" s="10">
        <f>Base_de_dados!H873/Base_de_dados!I873</f>
        <v>81.860000139999997</v>
      </c>
      <c r="F873" s="11">
        <f>(D873-Base_de_dados!H873)/Base_de_dados!H873</f>
        <v>2.6647935436956862</v>
      </c>
    </row>
    <row r="874" spans="1:6">
      <c r="A874" s="6" t="str">
        <f>Base_de_dados!A874</f>
        <v>Ad_24</v>
      </c>
      <c r="B874" s="8">
        <f>Base_de_dados!G874/Base_de_dados!F874</f>
        <v>9.2550724407741477E-3</v>
      </c>
      <c r="C874" s="9">
        <f>Base_de_dados!G874/Base_de_dados!H874</f>
        <v>3.2036613037718167E-2</v>
      </c>
      <c r="D874" s="9">
        <f>Base_de_dados!I874*300</f>
        <v>135000</v>
      </c>
      <c r="E874" s="10">
        <f>Base_de_dados!H874/Base_de_dados!I874</f>
        <v>242.77777955555555</v>
      </c>
      <c r="F874" s="11">
        <f>(D874-Base_de_dados!H874)/Base_de_dados!H874</f>
        <v>0.23569793145484358</v>
      </c>
    </row>
    <row r="875" spans="1:6">
      <c r="A875" s="6" t="str">
        <f>Base_de_dados!A875</f>
        <v>Ad_24</v>
      </c>
      <c r="B875" s="8">
        <f>Base_de_dados!G875/Base_de_dados!F875</f>
        <v>8.9600191147074446E-3</v>
      </c>
      <c r="C875" s="9">
        <f>Base_de_dados!G875/Base_de_dados!H875</f>
        <v>3.1315240667224138E-2</v>
      </c>
      <c r="D875" s="9">
        <f>Base_de_dados!I875*300</f>
        <v>240000</v>
      </c>
      <c r="E875" s="10">
        <f>Base_de_dados!H875/Base_de_dados!I875</f>
        <v>167.649996875</v>
      </c>
      <c r="F875" s="11">
        <f>(D875-Base_de_dados!H875)/Base_de_dados!H875</f>
        <v>0.78944232384137947</v>
      </c>
    </row>
    <row r="876" spans="1:6">
      <c r="A876" s="6" t="str">
        <f>Base_de_dados!A876</f>
        <v>Ad_24</v>
      </c>
      <c r="B876" s="8">
        <f>Base_de_dados!G876/Base_de_dados!F876</f>
        <v>9.682948005796858E-3</v>
      </c>
      <c r="C876" s="9">
        <f>Base_de_dados!G876/Base_de_dados!H876</f>
        <v>2.9016345987102607E-2</v>
      </c>
      <c r="D876" s="9">
        <f>Base_de_dados!I876*300</f>
        <v>225000</v>
      </c>
      <c r="E876" s="10">
        <f>Base_de_dados!H876/Base_de_dados!I876</f>
        <v>137.8533328</v>
      </c>
      <c r="F876" s="11">
        <f>(D876-Base_de_dados!H876)/Base_de_dados!H876</f>
        <v>1.1762259490326956</v>
      </c>
    </row>
    <row r="877" spans="1:6">
      <c r="A877" s="6" t="str">
        <f>Base_de_dados!A877</f>
        <v>Ad_24</v>
      </c>
      <c r="B877" s="8">
        <f>Base_de_dados!G877/Base_de_dados!F877</f>
        <v>9.9319432687400497E-3</v>
      </c>
      <c r="C877" s="9">
        <f>Base_de_dados!G877/Base_de_dados!H877</f>
        <v>2.788263564819024E-2</v>
      </c>
      <c r="D877" s="9">
        <f>Base_de_dados!I877*300</f>
        <v>195000</v>
      </c>
      <c r="E877" s="10">
        <f>Base_de_dados!H877/Base_de_dados!I877</f>
        <v>179.3230763076923</v>
      </c>
      <c r="F877" s="11">
        <f>(D877-Base_de_dados!H877)/Base_de_dados!H877</f>
        <v>0.67295813889141443</v>
      </c>
    </row>
    <row r="878" spans="1:6">
      <c r="A878" s="6" t="str">
        <f>Base_de_dados!A878</f>
        <v>Ad_24</v>
      </c>
      <c r="B878" s="8">
        <f>Base_de_dados!G878/Base_de_dados!F878</f>
        <v>1.0748033259191807E-2</v>
      </c>
      <c r="C878" s="9">
        <f>Base_de_dados!G878/Base_de_dados!H878</f>
        <v>2.9925187181671756E-2</v>
      </c>
      <c r="D878" s="9">
        <f>Base_de_dados!I878*300</f>
        <v>150000</v>
      </c>
      <c r="E878" s="10">
        <f>Base_de_dados!H878/Base_de_dados!I878</f>
        <v>240.59999880000001</v>
      </c>
      <c r="F878" s="11">
        <f>(D878-Base_de_dados!H878)/Base_de_dados!H878</f>
        <v>0.24688279923632317</v>
      </c>
    </row>
    <row r="879" spans="1:6">
      <c r="A879" s="6" t="str">
        <f>Base_de_dados!A879</f>
        <v>Ad_24</v>
      </c>
      <c r="B879" s="8">
        <f>Base_de_dados!G879/Base_de_dados!F879</f>
        <v>1.0891822419727269E-2</v>
      </c>
      <c r="C879" s="9">
        <f>Base_de_dados!G879/Base_de_dados!H879</f>
        <v>2.945797366168702E-2</v>
      </c>
      <c r="D879" s="9">
        <f>Base_de_dados!I879*300</f>
        <v>135000</v>
      </c>
      <c r="E879" s="10">
        <f>Base_de_dados!H879/Base_de_dados!I879</f>
        <v>56.57777706666667</v>
      </c>
      <c r="F879" s="11">
        <f>(D879-Base_de_dados!H879)/Base_de_dados!H879</f>
        <v>4.3024352591036639</v>
      </c>
    </row>
    <row r="880" spans="1:6">
      <c r="A880" s="6" t="str">
        <f>Base_de_dados!A880</f>
        <v>Ad_24</v>
      </c>
      <c r="B880" s="8">
        <f>Base_de_dados!G880/Base_de_dados!F880</f>
        <v>7.8662733529990172E-3</v>
      </c>
      <c r="C880" s="9">
        <f>Base_de_dados!G880/Base_de_dados!H880</f>
        <v>2.8026905963132679E-2</v>
      </c>
      <c r="D880" s="9">
        <f>Base_de_dados!I880*300</f>
        <v>150000</v>
      </c>
      <c r="E880" s="10">
        <f>Base_de_dados!H880/Base_de_dados!I880</f>
        <v>71.35999966</v>
      </c>
      <c r="F880" s="11">
        <f>(D880-Base_de_dados!H880)/Base_de_dados!H880</f>
        <v>3.2040358944699019</v>
      </c>
    </row>
    <row r="881" spans="1:6">
      <c r="A881" s="6" t="str">
        <f>Base_de_dados!A881</f>
        <v>Ad_24</v>
      </c>
      <c r="B881" s="8">
        <f>Base_de_dados!G881/Base_de_dados!F881</f>
        <v>9.6200558925247353E-3</v>
      </c>
      <c r="C881" s="9">
        <f>Base_de_dados!G881/Base_de_dados!H881</f>
        <v>3.0353619530944214E-2</v>
      </c>
      <c r="D881" s="9">
        <f>Base_de_dados!I881*300</f>
        <v>180000</v>
      </c>
      <c r="E881" s="10">
        <f>Base_de_dados!H881/Base_de_dados!I881</f>
        <v>219.63333433333332</v>
      </c>
      <c r="F881" s="11">
        <f>(D881-Base_de_dados!H881)/Base_de_dados!H881</f>
        <v>0.36591287889248958</v>
      </c>
    </row>
    <row r="882" spans="1:6">
      <c r="A882" s="6" t="str">
        <f>Base_de_dados!A882</f>
        <v>Ad_24</v>
      </c>
      <c r="B882" s="8">
        <f>Base_de_dados!G882/Base_de_dados!F882</f>
        <v>9.2875518941962082E-3</v>
      </c>
      <c r="C882" s="9">
        <f>Base_de_dados!G882/Base_de_dados!H882</f>
        <v>3.3433634001301803E-2</v>
      </c>
      <c r="D882" s="9">
        <f>Base_de_dados!I882*300</f>
        <v>150000</v>
      </c>
      <c r="E882" s="10">
        <f>Base_de_dados!H882/Base_de_dados!I882</f>
        <v>59.82000042</v>
      </c>
      <c r="F882" s="11">
        <f>(D882-Base_de_dados!H882)/Base_de_dados!H882</f>
        <v>4.0150451001952705</v>
      </c>
    </row>
    <row r="883" spans="1:6">
      <c r="A883" s="6" t="str">
        <f>Base_de_dados!A883</f>
        <v>Ad_24</v>
      </c>
      <c r="B883" s="8">
        <f>Base_de_dados!G883/Base_de_dados!F883</f>
        <v>8.5180948672394074E-3</v>
      </c>
      <c r="C883" s="9">
        <f>Base_de_dados!G883/Base_de_dados!H883</f>
        <v>2.9920923146309366E-2</v>
      </c>
      <c r="D883" s="9">
        <f>Base_de_dados!I883*300</f>
        <v>150000</v>
      </c>
      <c r="E883" s="10">
        <f>Base_de_dados!H883/Base_de_dados!I883</f>
        <v>93.580000400000003</v>
      </c>
      <c r="F883" s="11">
        <f>(D883-Base_de_dados!H883)/Base_de_dados!H883</f>
        <v>2.2058131942474319</v>
      </c>
    </row>
    <row r="884" spans="1:6">
      <c r="A884" s="6" t="str">
        <f>Base_de_dados!A884</f>
        <v>Ad_24</v>
      </c>
      <c r="B884" s="8">
        <f>Base_de_dados!G884/Base_de_dados!F884</f>
        <v>5.6618729475710564E-3</v>
      </c>
      <c r="C884" s="9">
        <f>Base_de_dados!G884/Base_de_dados!H884</f>
        <v>3.1347962991715897E-2</v>
      </c>
      <c r="D884" s="9">
        <f>Base_de_dados!I884*300</f>
        <v>135000</v>
      </c>
      <c r="E884" s="10">
        <f>Base_de_dados!H884/Base_de_dados!I884</f>
        <v>7.0888887511111109</v>
      </c>
      <c r="F884" s="11">
        <f>(D884-Base_de_dados!H884)/Base_de_dados!H884</f>
        <v>41.319750038816458</v>
      </c>
    </row>
    <row r="885" spans="1:6">
      <c r="A885" s="6" t="str">
        <f>Base_de_dados!A885</f>
        <v>Ad_24</v>
      </c>
      <c r="B885" s="8">
        <f>Base_de_dados!G885/Base_de_dados!F885</f>
        <v>7.6523974961355389E-3</v>
      </c>
      <c r="C885" s="9">
        <f>Base_de_dados!G885/Base_de_dados!H885</f>
        <v>2.9976019490163267E-2</v>
      </c>
      <c r="D885" s="9">
        <f>Base_de_dados!I885*300</f>
        <v>150000</v>
      </c>
      <c r="E885" s="10">
        <f>Base_de_dados!H885/Base_de_dados!I885</f>
        <v>33.35999966</v>
      </c>
      <c r="F885" s="11">
        <f>(D885-Base_de_dados!H885)/Base_de_dados!H885</f>
        <v>7.9928058470489809</v>
      </c>
    </row>
    <row r="886" spans="1:6">
      <c r="A886" s="6" t="str">
        <f>Base_de_dados!A886</f>
        <v>Ad_24</v>
      </c>
      <c r="B886" s="8">
        <f>Base_de_dados!G886/Base_de_dados!F886</f>
        <v>5.8491259734616795E-3</v>
      </c>
      <c r="C886" s="9">
        <f>Base_de_dados!G886/Base_de_dados!H886</f>
        <v>3.1503149946407787E-2</v>
      </c>
      <c r="D886" s="9">
        <f>Base_de_dados!I886*300</f>
        <v>135000</v>
      </c>
      <c r="E886" s="10">
        <f>Base_de_dados!H886/Base_de_dados!I886</f>
        <v>24.688889177777778</v>
      </c>
      <c r="F886" s="11">
        <f>(D886-Base_de_dados!H886)/Base_de_dados!H886</f>
        <v>11.151214979328717</v>
      </c>
    </row>
    <row r="887" spans="1:6">
      <c r="A887" s="6" t="str">
        <f>Base_de_dados!A887</f>
        <v>Ad_24</v>
      </c>
      <c r="B887" s="8">
        <f>Base_de_dados!G887/Base_de_dados!F887</f>
        <v>1.061384727066883E-2</v>
      </c>
      <c r="C887" s="9">
        <f>Base_de_dados!G887/Base_de_dados!H887</f>
        <v>3.1747276179533532E-2</v>
      </c>
      <c r="D887" s="9">
        <f>Base_de_dados!I887*300</f>
        <v>135000</v>
      </c>
      <c r="E887" s="10">
        <f>Base_de_dados!H887/Base_de_dados!I887</f>
        <v>283.48888733333337</v>
      </c>
      <c r="F887" s="11">
        <f>(D887-Base_de_dados!H887)/Base_de_dados!H887</f>
        <v>5.8242539317784482E-2</v>
      </c>
    </row>
    <row r="888" spans="1:6">
      <c r="A888" s="6" t="str">
        <f>Base_de_dados!A888</f>
        <v>Ad_24</v>
      </c>
      <c r="B888" s="8">
        <f>Base_de_dados!G888/Base_de_dados!F888</f>
        <v>8.7929480556593609E-3</v>
      </c>
      <c r="C888" s="9">
        <f>Base_de_dados!G888/Base_de_dados!H888</f>
        <v>3.6330608570690835E-2</v>
      </c>
      <c r="D888" s="9">
        <f>Base_de_dados!I888*300</f>
        <v>135000</v>
      </c>
      <c r="E888" s="10">
        <f>Base_de_dados!H888/Base_de_dados!I888</f>
        <v>24.466666644444445</v>
      </c>
      <c r="F888" s="11">
        <f>(D888-Base_de_dados!H888)/Base_de_dados!H888</f>
        <v>11.261580392608156</v>
      </c>
    </row>
    <row r="889" spans="1:6">
      <c r="A889" s="6" t="str">
        <f>Base_de_dados!A889</f>
        <v>Ad_24</v>
      </c>
      <c r="B889" s="8">
        <f>Base_de_dados!G889/Base_de_dados!F889</f>
        <v>5.2781589781484214E-3</v>
      </c>
      <c r="C889" s="9">
        <f>Base_de_dados!G889/Base_de_dados!H889</f>
        <v>2.777777851080249E-2</v>
      </c>
      <c r="D889" s="9">
        <f>Base_de_dados!I889*300</f>
        <v>120000</v>
      </c>
      <c r="E889" s="10">
        <f>Base_de_dados!H889/Base_de_dados!I889</f>
        <v>8.9999997624999999</v>
      </c>
      <c r="F889" s="11">
        <f>(D889-Base_de_dados!H889)/Base_de_dados!H889</f>
        <v>32.333334212962988</v>
      </c>
    </row>
    <row r="890" spans="1:6">
      <c r="A890" s="6" t="str">
        <f>Base_de_dados!A890</f>
        <v>Ad_24</v>
      </c>
      <c r="B890" s="8">
        <f>Base_de_dados!G890/Base_de_dados!F890</f>
        <v>7.8691964676051405E-3</v>
      </c>
      <c r="C890" s="9">
        <f>Base_de_dados!G890/Base_de_dados!H890</f>
        <v>2.673796793826913E-2</v>
      </c>
      <c r="D890" s="9">
        <f>Base_de_dados!I890*300</f>
        <v>135000</v>
      </c>
      <c r="E890" s="10">
        <f>Base_de_dados!H890/Base_de_dados!I890</f>
        <v>74.799999933333339</v>
      </c>
      <c r="F890" s="11">
        <f>(D890-Base_de_dados!H890)/Base_de_dados!H890</f>
        <v>3.0106951907403694</v>
      </c>
    </row>
    <row r="891" spans="1:6">
      <c r="A891" s="6" t="str">
        <f>Base_de_dados!A891</f>
        <v>Ad_24</v>
      </c>
      <c r="B891" s="8">
        <f>Base_de_dados!G891/Base_de_dados!F891</f>
        <v>1.0531806054283938E-2</v>
      </c>
      <c r="C891" s="9">
        <f>Base_de_dados!G891/Base_de_dados!H891</f>
        <v>3.1484257965470039E-2</v>
      </c>
      <c r="D891" s="9">
        <f>Base_de_dados!I891*300</f>
        <v>135000</v>
      </c>
      <c r="E891" s="10">
        <f>Base_de_dados!H891/Base_de_dados!I891</f>
        <v>74.111110888888888</v>
      </c>
      <c r="F891" s="11">
        <f>(D891-Base_de_dados!H891)/Base_de_dados!H891</f>
        <v>3.0479760241318621</v>
      </c>
    </row>
    <row r="892" spans="1:6">
      <c r="A892" s="6" t="str">
        <f>Base_de_dados!A892</f>
        <v>Ad_24</v>
      </c>
      <c r="B892" s="8">
        <f>Base_de_dados!G892/Base_de_dados!F892</f>
        <v>1.1403150648290231E-2</v>
      </c>
      <c r="C892" s="9">
        <f>Base_de_dados!G892/Base_de_dados!H892</f>
        <v>3.1490552907605676E-2</v>
      </c>
      <c r="D892" s="9">
        <f>Base_de_dados!I892*300</f>
        <v>225000</v>
      </c>
      <c r="E892" s="10">
        <f>Base_de_dados!H892/Base_de_dados!I892</f>
        <v>171.47999960000001</v>
      </c>
      <c r="F892" s="11">
        <f>(D892-Base_de_dados!H892)/Base_de_dados!H892</f>
        <v>0.74947516153364857</v>
      </c>
    </row>
    <row r="893" spans="1:6">
      <c r="A893" s="6" t="str">
        <f>Base_de_dados!A893</f>
        <v>Ad_24</v>
      </c>
      <c r="B893" s="8">
        <f>Base_de_dados!G893/Base_de_dados!F893</f>
        <v>1.1337756701600102E-2</v>
      </c>
      <c r="C893" s="9">
        <f>Base_de_dados!G893/Base_de_dados!H893</f>
        <v>3.3893309445713948E-2</v>
      </c>
      <c r="D893" s="9">
        <f>Base_de_dados!I893*300</f>
        <v>150000</v>
      </c>
      <c r="E893" s="10">
        <f>Base_de_dados!H893/Base_de_dados!I893</f>
        <v>67.860000619999994</v>
      </c>
      <c r="F893" s="11">
        <f>(D893-Base_de_dados!H893)/Base_de_dados!H893</f>
        <v>3.4208664494409495</v>
      </c>
    </row>
    <row r="894" spans="1:6">
      <c r="A894" s="6" t="str">
        <f>Base_de_dados!A894</f>
        <v>Ad_24</v>
      </c>
      <c r="B894" s="8">
        <f>Base_de_dados!G894/Base_de_dados!F894</f>
        <v>9.7441352485972497E-3</v>
      </c>
      <c r="C894" s="9">
        <f>Base_de_dados!G894/Base_de_dados!H894</f>
        <v>3.29308449539173E-2</v>
      </c>
      <c r="D894" s="9">
        <f>Base_de_dados!I894*300</f>
        <v>165000</v>
      </c>
      <c r="E894" s="10">
        <f>Base_de_dados!H894/Base_de_dados!I894</f>
        <v>66.254546000000005</v>
      </c>
      <c r="F894" s="11">
        <f>(D894-Base_de_dados!H894)/Base_de_dados!H894</f>
        <v>3.5279911811636291</v>
      </c>
    </row>
    <row r="895" spans="1:6">
      <c r="A895" s="6" t="str">
        <f>Base_de_dados!A895</f>
        <v>Ad_24</v>
      </c>
      <c r="B895" s="8">
        <f>Base_de_dados!G895/Base_de_dados!F895</f>
        <v>8.3063377356923339E-3</v>
      </c>
      <c r="C895" s="9">
        <f>Base_de_dados!G895/Base_de_dados!H895</f>
        <v>3.4662045174797027E-2</v>
      </c>
      <c r="D895" s="9">
        <f>Base_de_dados!I895*300</f>
        <v>135000</v>
      </c>
      <c r="E895" s="10">
        <f>Base_de_dados!H895/Base_de_dados!I895</f>
        <v>12.822222180000001</v>
      </c>
      <c r="F895" s="11">
        <f>(D895-Base_de_dados!H895)/Base_de_dados!H895</f>
        <v>22.396880492987997</v>
      </c>
    </row>
    <row r="896" spans="1:6">
      <c r="A896" s="6" t="str">
        <f>Base_de_dados!A896</f>
        <v>Ad_24</v>
      </c>
      <c r="B896" s="8">
        <f>Base_de_dados!G896/Base_de_dados!F896</f>
        <v>1.0139030245210033E-2</v>
      </c>
      <c r="C896" s="9">
        <f>Base_de_dados!G896/Base_de_dados!H896</f>
        <v>2.8890600749616659E-2</v>
      </c>
      <c r="D896" s="9">
        <f>Base_de_dados!I896*300</f>
        <v>165000</v>
      </c>
      <c r="E896" s="10">
        <f>Base_de_dados!H896/Base_de_dados!I896</f>
        <v>330.40000199999997</v>
      </c>
      <c r="F896" s="11">
        <f>(D896-Base_de_dados!H896)/Base_de_dados!H896</f>
        <v>-9.2009690726333568E-2</v>
      </c>
    </row>
    <row r="897" spans="1:6">
      <c r="A897" s="6" t="str">
        <f>Base_de_dados!A897</f>
        <v>Ad_24</v>
      </c>
      <c r="B897" s="8">
        <f>Base_de_dados!G897/Base_de_dados!F897</f>
        <v>8.6145109714411729E-3</v>
      </c>
      <c r="C897" s="9">
        <f>Base_de_dados!G897/Base_de_dados!H897</f>
        <v>3.0178657595019493E-2</v>
      </c>
      <c r="D897" s="9">
        <f>Base_de_dados!I897*300</f>
        <v>165000</v>
      </c>
      <c r="E897" s="10">
        <f>Base_de_dados!H897/Base_de_dados!I897</f>
        <v>75.309091054545448</v>
      </c>
      <c r="F897" s="11">
        <f>(D897-Base_de_dados!H897)/Base_de_dados!H897</f>
        <v>2.9835828025425735</v>
      </c>
    </row>
    <row r="898" spans="1:6">
      <c r="A898" s="6" t="str">
        <f>Base_de_dados!A898</f>
        <v>Ad_24</v>
      </c>
      <c r="B898" s="8">
        <f>Base_de_dados!G898/Base_de_dados!F898</f>
        <v>9.7249235898860791E-3</v>
      </c>
      <c r="C898" s="9">
        <f>Base_de_dados!G898/Base_de_dados!H898</f>
        <v>2.9822767700214772E-2</v>
      </c>
      <c r="D898" s="9">
        <f>Base_de_dados!I898*300</f>
        <v>135000</v>
      </c>
      <c r="E898" s="10">
        <f>Base_de_dados!H898/Base_de_dados!I898</f>
        <v>130.39999935555554</v>
      </c>
      <c r="F898" s="11">
        <f>(D898-Base_de_dados!H898)/Base_de_dados!H898</f>
        <v>1.3006135083022823</v>
      </c>
    </row>
    <row r="899" spans="1:6">
      <c r="A899" s="6" t="str">
        <f>Base_de_dados!A899</f>
        <v>Ad_24</v>
      </c>
      <c r="B899" s="8">
        <f>Base_de_dados!G899/Base_de_dados!F899</f>
        <v>8.896418611307735E-3</v>
      </c>
      <c r="C899" s="9">
        <f>Base_de_dados!G899/Base_de_dados!H899</f>
        <v>2.8628329674034721E-2</v>
      </c>
      <c r="D899" s="9">
        <f>Base_de_dados!I899*300</f>
        <v>150000</v>
      </c>
      <c r="E899" s="10">
        <f>Base_de_dados!H899/Base_de_dados!I899</f>
        <v>160.67999957999999</v>
      </c>
      <c r="F899" s="11">
        <f>(D899-Base_de_dados!H899)/Base_de_dados!H899</f>
        <v>0.86706497874139499</v>
      </c>
    </row>
    <row r="900" spans="1:6">
      <c r="A900" s="6" t="str">
        <f>Base_de_dados!A900</f>
        <v>Ad_24</v>
      </c>
      <c r="B900" s="8">
        <f>Base_de_dados!G900/Base_de_dados!F900</f>
        <v>1.1376146788990826E-2</v>
      </c>
      <c r="C900" s="9">
        <f>Base_de_dados!G900/Base_de_dados!H900</f>
        <v>2.9676431283463259E-2</v>
      </c>
      <c r="D900" s="9">
        <f>Base_de_dados!I900*300</f>
        <v>150000</v>
      </c>
      <c r="E900" s="10">
        <f>Base_de_dados!H900/Base_de_dados!I900</f>
        <v>208.91999920000001</v>
      </c>
      <c r="F900" s="11">
        <f>(D900-Base_de_dados!H900)/Base_de_dados!H900</f>
        <v>0.43595635242564162</v>
      </c>
    </row>
    <row r="901" spans="1:6">
      <c r="A901" s="6" t="str">
        <f>Base_de_dados!A901</f>
        <v>Ad_24</v>
      </c>
      <c r="B901" s="8">
        <f>Base_de_dados!G901/Base_de_dados!F901</f>
        <v>1.0432032562583045E-2</v>
      </c>
      <c r="C901" s="9">
        <f>Base_de_dados!G901/Base_de_dados!H901</f>
        <v>3.2486036518374346E-2</v>
      </c>
      <c r="D901" s="9">
        <f>Base_de_dados!I901*300</f>
        <v>165000</v>
      </c>
      <c r="E901" s="10">
        <f>Base_de_dados!H901/Base_de_dados!I901</f>
        <v>159.50909181818184</v>
      </c>
      <c r="F901" s="11">
        <f>(D901-Base_de_dados!H901)/Base_de_dados!H901</f>
        <v>0.88077053527430427</v>
      </c>
    </row>
    <row r="902" spans="1:6">
      <c r="A902" s="6" t="str">
        <f>Base_de_dados!A902</f>
        <v>Ad_24</v>
      </c>
      <c r="B902" s="8">
        <f>Base_de_dados!G902/Base_de_dados!F902</f>
        <v>1.1083845424176187E-2</v>
      </c>
      <c r="C902" s="9">
        <f>Base_de_dados!G902/Base_de_dados!H902</f>
        <v>3.3859600505062398E-2</v>
      </c>
      <c r="D902" s="9">
        <f>Base_de_dados!I902*300</f>
        <v>210000</v>
      </c>
      <c r="E902" s="10">
        <f>Base_de_dados!H902/Base_de_dados!I902</f>
        <v>362.84286000000003</v>
      </c>
      <c r="F902" s="11">
        <f>(D902-Base_de_dados!H902)/Base_de_dados!H902</f>
        <v>-0.17319580162056933</v>
      </c>
    </row>
    <row r="903" spans="1:6">
      <c r="A903" s="6" t="str">
        <f>Base_de_dados!A903</f>
        <v>Ad_24</v>
      </c>
      <c r="B903" s="8">
        <f>Base_de_dados!G903/Base_de_dados!F903</f>
        <v>1.0810720908765831E-2</v>
      </c>
      <c r="C903" s="9">
        <f>Base_de_dados!G903/Base_de_dados!H903</f>
        <v>3.2961460396103252E-2</v>
      </c>
      <c r="D903" s="9">
        <f>Base_de_dados!I903*300</f>
        <v>135000</v>
      </c>
      <c r="E903" s="10">
        <f>Base_de_dados!H903/Base_de_dados!I903</f>
        <v>87.64444457777779</v>
      </c>
      <c r="F903" s="11">
        <f>(D903-Base_de_dados!H903)/Base_de_dados!H903</f>
        <v>2.4229208872876451</v>
      </c>
    </row>
    <row r="904" spans="1:6">
      <c r="A904" s="6" t="str">
        <f>Base_de_dados!A904</f>
        <v>Ad_24</v>
      </c>
      <c r="B904" s="8">
        <f>Base_de_dados!G904/Base_de_dados!F904</f>
        <v>8.607950877293661E-3</v>
      </c>
      <c r="C904" s="9">
        <f>Base_de_dados!G904/Base_de_dados!H904</f>
        <v>3.0729833955941453E-2</v>
      </c>
      <c r="D904" s="9">
        <f>Base_de_dados!I904*300</f>
        <v>135000</v>
      </c>
      <c r="E904" s="10">
        <f>Base_de_dados!H904/Base_de_dados!I904</f>
        <v>86.77777662222222</v>
      </c>
      <c r="F904" s="11">
        <f>(D904-Base_de_dados!H904)/Base_de_dados!H904</f>
        <v>2.4571063200434136</v>
      </c>
    </row>
    <row r="905" spans="1:6">
      <c r="A905" s="6" t="str">
        <f>Base_de_dados!A905</f>
        <v>Ad_24</v>
      </c>
      <c r="B905" s="8">
        <f>Base_de_dados!G905/Base_de_dados!F905</f>
        <v>9.1189441920615441E-3</v>
      </c>
      <c r="C905" s="9">
        <f>Base_de_dados!G905/Base_de_dados!H905</f>
        <v>3.246753327251263E-2</v>
      </c>
      <c r="D905" s="9">
        <f>Base_de_dados!I905*300</f>
        <v>165000</v>
      </c>
      <c r="E905" s="10">
        <f>Base_de_dados!H905/Base_de_dados!I905</f>
        <v>30.799999236363636</v>
      </c>
      <c r="F905" s="11">
        <f>(D905-Base_de_dados!H905)/Base_de_dados!H905</f>
        <v>8.7402599817537894</v>
      </c>
    </row>
    <row r="906" spans="1:6">
      <c r="A906" s="6" t="str">
        <f>Base_de_dados!A906</f>
        <v>Ad_24</v>
      </c>
      <c r="B906" s="8">
        <f>Base_de_dados!G906/Base_de_dados!F906</f>
        <v>7.636651665678046E-3</v>
      </c>
      <c r="C906" s="9">
        <f>Base_de_dados!G906/Base_de_dados!H906</f>
        <v>3.0131035282717065E-2</v>
      </c>
      <c r="D906" s="9">
        <f>Base_de_dados!I906*300</f>
        <v>210000</v>
      </c>
      <c r="E906" s="10">
        <f>Base_de_dados!H906/Base_de_dados!I906</f>
        <v>203.87142642857145</v>
      </c>
      <c r="F906" s="11">
        <f>(D906-Base_de_dados!H906)/Base_de_dados!H906</f>
        <v>0.47151567659781018</v>
      </c>
    </row>
    <row r="907" spans="1:6">
      <c r="A907" s="6" t="str">
        <f>Base_de_dados!A907</f>
        <v>Ad_24</v>
      </c>
      <c r="B907" s="8">
        <f>Base_de_dados!G907/Base_de_dados!F907</f>
        <v>5.3363374937001572E-3</v>
      </c>
      <c r="C907" s="9">
        <f>Base_de_dados!G907/Base_de_dados!H907</f>
        <v>3.2967033172322184E-2</v>
      </c>
      <c r="D907" s="9">
        <f>Base_de_dados!I907*300</f>
        <v>150000</v>
      </c>
      <c r="E907" s="10">
        <f>Base_de_dados!H907/Base_de_dados!I907</f>
        <v>54.599999660000002</v>
      </c>
      <c r="F907" s="11">
        <f>(D907-Base_de_dados!H907)/Base_de_dados!H907</f>
        <v>4.4945055287203637</v>
      </c>
    </row>
    <row r="908" spans="1:6">
      <c r="A908" s="6" t="str">
        <f>Base_de_dados!A908</f>
        <v>Ad_24</v>
      </c>
      <c r="B908" s="8">
        <f>Base_de_dados!G908/Base_de_dados!F908</f>
        <v>7.5917937175674103E-3</v>
      </c>
      <c r="C908" s="9">
        <f>Base_de_dados!G908/Base_de_dados!H908</f>
        <v>2.8931246336240564E-2</v>
      </c>
      <c r="D908" s="9">
        <f>Base_de_dados!I908*300</f>
        <v>180000</v>
      </c>
      <c r="E908" s="10">
        <f>Base_de_dados!H908/Base_de_dados!I908</f>
        <v>48.966665666666671</v>
      </c>
      <c r="F908" s="11">
        <f>(D908-Base_de_dados!H908)/Base_de_dados!H908</f>
        <v>5.1266168712038844</v>
      </c>
    </row>
    <row r="909" spans="1:6">
      <c r="A909" s="6" t="str">
        <f>Base_de_dados!A909</f>
        <v>Ad_24</v>
      </c>
      <c r="B909" s="8">
        <f>Base_de_dados!G909/Base_de_dados!F909</f>
        <v>8.1847094038413563E-3</v>
      </c>
      <c r="C909" s="9">
        <f>Base_de_dados!G909/Base_de_dados!H909</f>
        <v>3.0261546373536154E-2</v>
      </c>
      <c r="D909" s="9">
        <f>Base_de_dados!I909*300</f>
        <v>495000</v>
      </c>
      <c r="E909" s="10">
        <f>Base_de_dados!H909/Base_de_dados!I909</f>
        <v>168.23030218181819</v>
      </c>
      <c r="F909" s="11">
        <f>(D909-Base_de_dados!H909)/Base_de_dados!H909</f>
        <v>0.78326969701195182</v>
      </c>
    </row>
    <row r="910" spans="1:6">
      <c r="A910" s="6" t="str">
        <f>Base_de_dados!A910</f>
        <v>Ad_24</v>
      </c>
      <c r="B910" s="8">
        <f>Base_de_dados!G910/Base_de_dados!F910</f>
        <v>9.2677473770119631E-3</v>
      </c>
      <c r="C910" s="9">
        <f>Base_de_dados!G910/Base_de_dados!H910</f>
        <v>3.0507993293136002E-2</v>
      </c>
      <c r="D910" s="9">
        <f>Base_de_dados!I910*300</f>
        <v>540000</v>
      </c>
      <c r="E910" s="10">
        <f>Base_de_dados!H910/Base_de_dados!I910</f>
        <v>234.91111322222218</v>
      </c>
      <c r="F910" s="11">
        <f>(D910-Base_de_dados!H910)/Base_de_dados!H910</f>
        <v>0.27707878901499544</v>
      </c>
    </row>
    <row r="911" spans="1:6">
      <c r="A911" s="6" t="str">
        <f>Base_de_dados!A911</f>
        <v>Ad_24</v>
      </c>
      <c r="B911" s="8">
        <f>Base_de_dados!G911/Base_de_dados!F911</f>
        <v>7.4550494405324257E-3</v>
      </c>
      <c r="C911" s="9">
        <f>Base_de_dados!G911/Base_de_dados!H911</f>
        <v>2.8571427955473114E-2</v>
      </c>
      <c r="D911" s="9">
        <f>Base_de_dados!I911*300</f>
        <v>135000</v>
      </c>
      <c r="E911" s="10">
        <f>Base_de_dados!H911/Base_de_dados!I911</f>
        <v>85.555557399999998</v>
      </c>
      <c r="F911" s="11">
        <f>(D911-Base_de_dados!H911)/Base_de_dados!H911</f>
        <v>2.5064934308989728</v>
      </c>
    </row>
    <row r="912" spans="1:6">
      <c r="A912" s="6" t="str">
        <f>Base_de_dados!A912</f>
        <v>Ad_24</v>
      </c>
      <c r="B912" s="8">
        <f>Base_de_dados!G912/Base_de_dados!F912</f>
        <v>6.7371320777315329E-3</v>
      </c>
      <c r="C912" s="9">
        <f>Base_de_dados!G912/Base_de_dados!H912</f>
        <v>2.5966532325060965E-2</v>
      </c>
      <c r="D912" s="9">
        <f>Base_de_dados!I912*300</f>
        <v>150000</v>
      </c>
      <c r="E912" s="10">
        <f>Base_de_dados!H912/Base_de_dados!I912</f>
        <v>34.659999599999999</v>
      </c>
      <c r="F912" s="11">
        <f>(D912-Base_de_dados!H912)/Base_de_dados!H912</f>
        <v>7.6555107750203222</v>
      </c>
    </row>
    <row r="913" spans="1:6">
      <c r="A913" s="6" t="str">
        <f>Base_de_dados!A913</f>
        <v>Ad_24</v>
      </c>
      <c r="B913" s="8">
        <f>Base_de_dados!G913/Base_de_dados!F913</f>
        <v>7.9911172423074977E-3</v>
      </c>
      <c r="C913" s="9">
        <f>Base_de_dados!G913/Base_de_dados!H913</f>
        <v>2.9402661769240477E-2</v>
      </c>
      <c r="D913" s="9">
        <f>Base_de_dados!I913*300</f>
        <v>165000</v>
      </c>
      <c r="E913" s="10">
        <f>Base_de_dados!H913/Base_de_dados!I913</f>
        <v>58.74545443636363</v>
      </c>
      <c r="F913" s="11">
        <f>(D913-Base_de_dados!H913)/Base_de_dados!H913</f>
        <v>4.1067780967628194</v>
      </c>
    </row>
    <row r="914" spans="1:6">
      <c r="A914" s="6" t="str">
        <f>Base_de_dados!A914</f>
        <v>Ad_24</v>
      </c>
      <c r="B914" s="8">
        <f>Base_de_dados!G914/Base_de_dados!F914</f>
        <v>8.1075602999797318E-3</v>
      </c>
      <c r="C914" s="9">
        <f>Base_de_dados!G914/Base_de_dados!H914</f>
        <v>2.8591851710682757E-2</v>
      </c>
      <c r="D914" s="9">
        <f>Base_de_dados!I914*300</f>
        <v>150000</v>
      </c>
      <c r="E914" s="10">
        <f>Base_de_dados!H914/Base_de_dados!I914</f>
        <v>83.939998860000003</v>
      </c>
      <c r="F914" s="11">
        <f>(D914-Base_de_dados!H914)/Base_de_dados!H914</f>
        <v>2.5739814638353451</v>
      </c>
    </row>
    <row r="915" spans="1:6">
      <c r="A915" s="6" t="str">
        <f>Base_de_dados!A915</f>
        <v>Ad_24</v>
      </c>
      <c r="B915" s="8">
        <f>Base_de_dados!G915/Base_de_dados!F915</f>
        <v>1.0558586757281137E-2</v>
      </c>
      <c r="C915" s="9">
        <f>Base_de_dados!G915/Base_de_dados!H915</f>
        <v>2.7947226644182008E-2</v>
      </c>
      <c r="D915" s="9">
        <f>Base_de_dados!I915*300</f>
        <v>180000</v>
      </c>
      <c r="E915" s="10">
        <f>Base_de_dados!H915/Base_de_dados!I915</f>
        <v>587.41666483333336</v>
      </c>
      <c r="F915" s="11">
        <f>(D915-Base_de_dados!H915)/Base_de_dados!H915</f>
        <v>-0.48928925929413586</v>
      </c>
    </row>
    <row r="916" spans="1:6">
      <c r="A916" s="6" t="str">
        <f>Base_de_dados!A916</f>
        <v>Ad_24</v>
      </c>
      <c r="B916" s="8">
        <f>Base_de_dados!G916/Base_de_dados!F916</f>
        <v>1.0231652975740541E-2</v>
      </c>
      <c r="C916" s="9">
        <f>Base_de_dados!G916/Base_de_dados!H916</f>
        <v>2.7778827651587918E-2</v>
      </c>
      <c r="D916" s="9">
        <f>Base_de_dados!I916*300</f>
        <v>195000</v>
      </c>
      <c r="E916" s="10">
        <f>Base_de_dados!H916/Base_de_dados!I916</f>
        <v>407.06153800000004</v>
      </c>
      <c r="F916" s="11">
        <f>(D916-Base_de_dados!H916)/Base_de_dados!H916</f>
        <v>-0.2630106949578716</v>
      </c>
    </row>
    <row r="917" spans="1:6">
      <c r="A917" s="6" t="str">
        <f>Base_de_dados!A917</f>
        <v>Ad_24</v>
      </c>
      <c r="B917" s="8">
        <f>Base_de_dados!G917/Base_de_dados!F917</f>
        <v>9.4544548930263015E-3</v>
      </c>
      <c r="C917" s="9">
        <f>Base_de_dados!G917/Base_de_dados!H917</f>
        <v>2.585119801494476E-2</v>
      </c>
      <c r="D917" s="9">
        <f>Base_de_dados!I917*300</f>
        <v>225000</v>
      </c>
      <c r="E917" s="10">
        <f>Base_de_dados!H917/Base_de_dados!I917</f>
        <v>211.46666640000004</v>
      </c>
      <c r="F917" s="11">
        <f>(D917-Base_de_dados!H917)/Base_de_dados!H917</f>
        <v>0.4186633056981881</v>
      </c>
    </row>
    <row r="918" spans="1:6">
      <c r="A918" s="6" t="str">
        <f>Base_de_dados!A918</f>
        <v>Ad_24</v>
      </c>
      <c r="B918" s="8">
        <f>Base_de_dados!G918/Base_de_dados!F918</f>
        <v>5.0925140044135123E-3</v>
      </c>
      <c r="C918" s="9">
        <f>Base_de_dados!G918/Base_de_dados!H918</f>
        <v>3.1446541005761906E-2</v>
      </c>
      <c r="D918" s="9">
        <f>Base_de_dados!I918*300</f>
        <v>150000</v>
      </c>
      <c r="E918" s="10">
        <f>Base_de_dados!H918/Base_de_dados!I918</f>
        <v>9.5399999619999996</v>
      </c>
      <c r="F918" s="11">
        <f>(D918-Base_de_dados!H918)/Base_de_dados!H918</f>
        <v>30.446541005761905</v>
      </c>
    </row>
    <row r="919" spans="1:6">
      <c r="A919" s="6" t="str">
        <f>Base_de_dados!A919</f>
        <v>Ad_24</v>
      </c>
      <c r="B919" s="8">
        <f>Base_de_dados!G919/Base_de_dados!F919</f>
        <v>6.2570391690651983E-3</v>
      </c>
      <c r="C919" s="9">
        <f>Base_de_dados!G919/Base_de_dados!H919</f>
        <v>3.1120331614469449E-2</v>
      </c>
      <c r="D919" s="9">
        <f>Base_de_dados!I919*300</f>
        <v>150000</v>
      </c>
      <c r="E919" s="10">
        <f>Base_de_dados!H919/Base_de_dados!I919</f>
        <v>9.6400001040000003</v>
      </c>
      <c r="F919" s="11">
        <f>(D919-Base_de_dados!H919)/Base_de_dados!H919</f>
        <v>30.120331614469453</v>
      </c>
    </row>
    <row r="920" spans="1:6">
      <c r="A920" s="6" t="str">
        <f>Base_de_dados!A920</f>
        <v>Ad_24</v>
      </c>
      <c r="B920" s="8">
        <f>Base_de_dados!G920/Base_de_dados!F920</f>
        <v>9.8829854522454151E-3</v>
      </c>
      <c r="C920" s="9">
        <f>Base_de_dados!G920/Base_de_dados!H920</f>
        <v>3.3548040803421379E-2</v>
      </c>
      <c r="D920" s="9">
        <f>Base_de_dados!I920*300</f>
        <v>150000</v>
      </c>
      <c r="E920" s="10">
        <f>Base_de_dados!H920/Base_de_dados!I920</f>
        <v>74.519999979999994</v>
      </c>
      <c r="F920" s="11">
        <f>(D920-Base_de_dados!H920)/Base_de_dados!H920</f>
        <v>3.0257648964105655</v>
      </c>
    </row>
    <row r="921" spans="1:6">
      <c r="A921" s="6" t="str">
        <f>Base_de_dados!A921</f>
        <v>Ad_24</v>
      </c>
      <c r="B921" s="8">
        <f>Base_de_dados!G921/Base_de_dados!F921</f>
        <v>1.0074914183320261E-2</v>
      </c>
      <c r="C921" s="9">
        <f>Base_de_dados!G921/Base_de_dados!H921</f>
        <v>3.5425100587106018E-2</v>
      </c>
      <c r="D921" s="9">
        <f>Base_de_dados!I921*300</f>
        <v>120000</v>
      </c>
      <c r="E921" s="10">
        <f>Base_de_dados!H921/Base_de_dados!I921</f>
        <v>98.800001749999993</v>
      </c>
      <c r="F921" s="11">
        <f>(D921-Base_de_dados!H921)/Base_de_dados!H921</f>
        <v>2.0364371931805154</v>
      </c>
    </row>
    <row r="922" spans="1:6">
      <c r="A922" s="6" t="str">
        <f>Base_de_dados!A922</f>
        <v>Ad_24</v>
      </c>
      <c r="B922" s="8">
        <f>Base_de_dados!G922/Base_de_dados!F922</f>
        <v>8.7172558078716812E-3</v>
      </c>
      <c r="C922" s="9">
        <f>Base_de_dados!G922/Base_de_dados!H922</f>
        <v>3.0800821703089364E-2</v>
      </c>
      <c r="D922" s="9">
        <f>Base_de_dados!I922*300</f>
        <v>120000</v>
      </c>
      <c r="E922" s="10">
        <f>Base_de_dados!H922/Base_de_dados!I922</f>
        <v>48.699999449999993</v>
      </c>
      <c r="F922" s="11">
        <f>(D922-Base_de_dados!H922)/Base_de_dados!H922</f>
        <v>5.1601643406178725</v>
      </c>
    </row>
    <row r="923" spans="1:6">
      <c r="A923" s="6" t="str">
        <f>Base_de_dados!A923</f>
        <v>Ad_24</v>
      </c>
      <c r="B923" s="8">
        <f>Base_de_dados!G923/Base_de_dados!F923</f>
        <v>1.0016828271496114E-2</v>
      </c>
      <c r="C923" s="9">
        <f>Base_de_dados!G923/Base_de_dados!H923</f>
        <v>3.0525030525030528E-2</v>
      </c>
      <c r="D923" s="9">
        <f>Base_de_dados!I923*300</f>
        <v>165000</v>
      </c>
      <c r="E923" s="10">
        <f>Base_de_dados!H923/Base_de_dados!I923</f>
        <v>29.781818181818178</v>
      </c>
      <c r="F923" s="11">
        <f>(D923-Base_de_dados!H923)/Base_de_dados!H923</f>
        <v>9.0732600732600748</v>
      </c>
    </row>
    <row r="924" spans="1:6">
      <c r="A924" s="6" t="str">
        <f>Base_de_dados!A924</f>
        <v>Ad_24</v>
      </c>
      <c r="B924" s="8">
        <f>Base_de_dados!G924/Base_de_dados!F924</f>
        <v>1.0524377088431078E-2</v>
      </c>
      <c r="C924" s="9">
        <f>Base_de_dados!G924/Base_de_dados!H924</f>
        <v>3.5288927616251985E-2</v>
      </c>
      <c r="D924" s="9">
        <f>Base_de_dados!I924*300</f>
        <v>135000</v>
      </c>
      <c r="E924" s="10">
        <f>Base_de_dados!H924/Base_de_dados!I924</f>
        <v>50.377778466666662</v>
      </c>
      <c r="F924" s="11">
        <f>(D924-Base_de_dados!H924)/Base_de_dados!H924</f>
        <v>4.9550065352425223</v>
      </c>
    </row>
    <row r="925" spans="1:6">
      <c r="A925" s="6" t="str">
        <f>Base_de_dados!A925</f>
        <v>Ad_24</v>
      </c>
      <c r="B925" s="8">
        <f>Base_de_dados!G925/Base_de_dados!F925</f>
        <v>9.8141205566569176E-3</v>
      </c>
      <c r="C925" s="9">
        <f>Base_de_dados!G925/Base_de_dados!H925</f>
        <v>3.1269542975773251E-2</v>
      </c>
      <c r="D925" s="9">
        <f>Base_de_dados!I925*300</f>
        <v>135000</v>
      </c>
      <c r="E925" s="10">
        <f>Base_de_dados!H925/Base_de_dados!I925</f>
        <v>35.53333388888889</v>
      </c>
      <c r="F925" s="11">
        <f>(D925-Base_de_dados!H925)/Base_de_dados!H925</f>
        <v>7.4427766034587775</v>
      </c>
    </row>
    <row r="926" spans="1:6">
      <c r="A926" s="6" t="str">
        <f>Base_de_dados!A926</f>
        <v>Ad_24</v>
      </c>
      <c r="B926" s="8">
        <f>Base_de_dados!G926/Base_de_dados!F926</f>
        <v>9.9034860270815327E-3</v>
      </c>
      <c r="C926" s="9">
        <f>Base_de_dados!G926/Base_de_dados!H926</f>
        <v>3.2258064610727458E-2</v>
      </c>
      <c r="D926" s="9">
        <f>Base_de_dados!I926*300</f>
        <v>135000</v>
      </c>
      <c r="E926" s="10">
        <f>Base_de_dados!H926/Base_de_dados!I926</f>
        <v>37.88888877777778</v>
      </c>
      <c r="F926" s="11">
        <f>(D926-Base_de_dados!H926)/Base_de_dados!H926</f>
        <v>6.9178885862694672</v>
      </c>
    </row>
    <row r="927" spans="1:6">
      <c r="A927" s="6" t="str">
        <f>Base_de_dados!A927</f>
        <v>Ad_24</v>
      </c>
      <c r="B927" s="8">
        <f>Base_de_dados!G927/Base_de_dados!F927</f>
        <v>5.9165762745291388E-3</v>
      </c>
      <c r="C927" s="9">
        <f>Base_de_dados!G927/Base_de_dados!H927</f>
        <v>3.3444815941656138E-2</v>
      </c>
      <c r="D927" s="9">
        <f>Base_de_dados!I927*300</f>
        <v>195000</v>
      </c>
      <c r="E927" s="10">
        <f>Base_de_dados!H927/Base_de_dados!I927</f>
        <v>27.600000092307688</v>
      </c>
      <c r="F927" s="11">
        <f>(D927-Base_de_dados!H927)/Base_de_dados!H927</f>
        <v>9.8695651810382454</v>
      </c>
    </row>
    <row r="928" spans="1:6">
      <c r="A928" s="6" t="str">
        <f>Base_de_dados!A928</f>
        <v>Ad_24</v>
      </c>
      <c r="B928" s="8">
        <f>Base_de_dados!G928/Base_de_dados!F928</f>
        <v>6.7041603039219334E-3</v>
      </c>
      <c r="C928" s="9">
        <f>Base_de_dados!G928/Base_de_dados!H928</f>
        <v>3.4951455984918472E-2</v>
      </c>
      <c r="D928" s="9">
        <f>Base_de_dados!I928*300</f>
        <v>180000</v>
      </c>
      <c r="E928" s="10">
        <f>Base_de_dados!H928/Base_de_dados!I928</f>
        <v>42.916667066666662</v>
      </c>
      <c r="F928" s="11">
        <f>(D928-Base_de_dados!H928)/Base_de_dados!H928</f>
        <v>5.9902911969836943</v>
      </c>
    </row>
    <row r="929" spans="1:6">
      <c r="A929" s="6" t="str">
        <f>Base_de_dados!A929</f>
        <v>Ad_24</v>
      </c>
      <c r="B929" s="8">
        <f>Base_de_dados!G929/Base_de_dados!F929</f>
        <v>7.9586152009550343E-3</v>
      </c>
      <c r="C929" s="9">
        <f>Base_de_dados!G929/Base_de_dados!H929</f>
        <v>3.3244680011105157E-2</v>
      </c>
      <c r="D929" s="9">
        <f>Base_de_dados!I929*300</f>
        <v>180000</v>
      </c>
      <c r="E929" s="10">
        <f>Base_de_dados!H929/Base_de_dados!I929</f>
        <v>50.133334599999998</v>
      </c>
      <c r="F929" s="11">
        <f>(D929-Base_de_dados!H929)/Base_de_dados!H929</f>
        <v>4.9840424019989289</v>
      </c>
    </row>
    <row r="930" spans="1:6">
      <c r="A930" s="6" t="str">
        <f>Base_de_dados!A930</f>
        <v>Ad_24</v>
      </c>
      <c r="B930" s="8">
        <f>Base_de_dados!G930/Base_de_dados!F930</f>
        <v>4.9597270166250049E-3</v>
      </c>
      <c r="C930" s="9">
        <f>Base_de_dados!G930/Base_de_dados!H930</f>
        <v>3.4435261186242599E-2</v>
      </c>
      <c r="D930" s="9">
        <f>Base_de_dados!I930*300</f>
        <v>150000</v>
      </c>
      <c r="E930" s="10">
        <f>Base_de_dados!H930/Base_de_dados!I930</f>
        <v>14.52000022</v>
      </c>
      <c r="F930" s="11">
        <f>(D930-Base_de_dados!H930)/Base_de_dados!H930</f>
        <v>19.661156711745562</v>
      </c>
    </row>
    <row r="931" spans="1:6">
      <c r="A931" s="6" t="str">
        <f>Base_de_dados!A931</f>
        <v>Ad_24</v>
      </c>
      <c r="B931" s="8">
        <f>Base_de_dados!G931/Base_de_dados!F931</f>
        <v>5.3379760037447956E-3</v>
      </c>
      <c r="C931" s="9">
        <f>Base_de_dados!G931/Base_de_dados!H931</f>
        <v>3.5287730804099311E-2</v>
      </c>
      <c r="D931" s="9">
        <f>Base_de_dados!I931*300</f>
        <v>165000</v>
      </c>
      <c r="E931" s="10">
        <f>Base_de_dados!H931/Base_de_dados!I931</f>
        <v>33.49090901818181</v>
      </c>
      <c r="F931" s="11">
        <f>(D931-Base_de_dados!H931)/Base_de_dados!H931</f>
        <v>7.9576547425790567</v>
      </c>
    </row>
    <row r="932" spans="1:6">
      <c r="A932" s="6" t="str">
        <f>Base_de_dados!A932</f>
        <v>Ad_24</v>
      </c>
      <c r="B932" s="8">
        <f>Base_de_dados!G932/Base_de_dados!F932</f>
        <v>6.3645144624231579E-3</v>
      </c>
      <c r="C932" s="9">
        <f>Base_de_dados!G932/Base_de_dados!H932</f>
        <v>3.3663366336633666E-2</v>
      </c>
      <c r="D932" s="9">
        <f>Base_de_dados!I932*300</f>
        <v>210000</v>
      </c>
      <c r="E932" s="10">
        <f>Base_de_dados!H932/Base_de_dados!I932</f>
        <v>72.142857142857139</v>
      </c>
      <c r="F932" s="11">
        <f>(D932-Base_de_dados!H932)/Base_de_dados!H932</f>
        <v>3.1584158415841586</v>
      </c>
    </row>
    <row r="933" spans="1:6">
      <c r="A933" s="6" t="str">
        <f>Base_de_dados!A933</f>
        <v>Ad_24</v>
      </c>
      <c r="B933" s="8">
        <f>Base_de_dados!G933/Base_de_dados!F933</f>
        <v>7.7967056866709164E-3</v>
      </c>
      <c r="C933" s="9">
        <f>Base_de_dados!G933/Base_de_dados!H933</f>
        <v>3.4696859380232904E-2</v>
      </c>
      <c r="D933" s="9">
        <f>Base_de_dados!I933*300</f>
        <v>225000</v>
      </c>
      <c r="E933" s="10">
        <f>Base_de_dados!H933/Base_de_dados!I933</f>
        <v>109.51999886666665</v>
      </c>
      <c r="F933" s="11">
        <f>(D933-Base_de_dados!H933)/Base_de_dados!H933</f>
        <v>1.7392257405447031</v>
      </c>
    </row>
    <row r="934" spans="1:6">
      <c r="A934" s="6" t="str">
        <f>Base_de_dados!A934</f>
        <v>Ad_24</v>
      </c>
      <c r="B934" s="8">
        <f>Base_de_dados!G934/Base_de_dados!F934</f>
        <v>6.6222358787442126E-3</v>
      </c>
      <c r="C934" s="9">
        <f>Base_de_dados!G934/Base_de_dados!H934</f>
        <v>3.4153005109886836E-2</v>
      </c>
      <c r="D934" s="9">
        <f>Base_de_dados!I934*300</f>
        <v>165000</v>
      </c>
      <c r="E934" s="10">
        <f>Base_de_dados!H934/Base_de_dados!I934</f>
        <v>66.545455236363637</v>
      </c>
      <c r="F934" s="11">
        <f>(D934-Base_de_dados!H934)/Base_de_dados!H934</f>
        <v>3.5081966745050623</v>
      </c>
    </row>
    <row r="935" spans="1:6">
      <c r="A935" s="6" t="str">
        <f>Base_de_dados!A935</f>
        <v>Ad_24</v>
      </c>
      <c r="B935" s="8">
        <f>Base_de_dados!G935/Base_de_dados!F935</f>
        <v>5.9948720786527215E-3</v>
      </c>
      <c r="C935" s="9">
        <f>Base_de_dados!G935/Base_de_dados!H935</f>
        <v>3.3197139667439104E-2</v>
      </c>
      <c r="D935" s="9">
        <f>Base_de_dados!I935*300</f>
        <v>135000</v>
      </c>
      <c r="E935" s="10">
        <f>Base_de_dados!H935/Base_de_dados!I935</f>
        <v>43.511111466666662</v>
      </c>
      <c r="F935" s="11">
        <f>(D935-Base_de_dados!H935)/Base_de_dados!H935</f>
        <v>5.894790546314276</v>
      </c>
    </row>
    <row r="936" spans="1:6">
      <c r="A936" s="6" t="str">
        <f>Base_de_dados!A936</f>
        <v>Ad_24</v>
      </c>
      <c r="B936" s="8">
        <f>Base_de_dados!G936/Base_de_dados!F936</f>
        <v>3.2485110990795887E-3</v>
      </c>
      <c r="C936" s="9">
        <f>Base_de_dados!G936/Base_de_dados!H936</f>
        <v>3.2967031880207741E-2</v>
      </c>
      <c r="D936" s="9">
        <f>Base_de_dados!I936*300</f>
        <v>180000</v>
      </c>
      <c r="E936" s="10">
        <f>Base_de_dados!H936/Base_de_dados!I936</f>
        <v>22.750000749999998</v>
      </c>
      <c r="F936" s="11">
        <f>(D936-Base_de_dados!H936)/Base_de_dados!H936</f>
        <v>12.186812752083098</v>
      </c>
    </row>
    <row r="937" spans="1:6">
      <c r="A937" s="6" t="str">
        <f>Base_de_dados!A937</f>
        <v>Ad_24</v>
      </c>
      <c r="B937" s="8">
        <f>Base_de_dados!G937/Base_de_dados!F937</f>
        <v>6.960187726206101E-3</v>
      </c>
      <c r="C937" s="9">
        <f>Base_de_dados!G937/Base_de_dados!H937</f>
        <v>3.4699272841476538E-2</v>
      </c>
      <c r="D937" s="9">
        <f>Base_de_dados!I937*300</f>
        <v>120000</v>
      </c>
      <c r="E937" s="10">
        <f>Base_de_dados!H937/Base_de_dados!I937</f>
        <v>75.650000274999996</v>
      </c>
      <c r="F937" s="11">
        <f>(D937-Base_de_dados!H937)/Base_de_dados!H937</f>
        <v>2.9656311818830328</v>
      </c>
    </row>
  </sheetData>
  <conditionalFormatting sqref="F1:F1048576">
    <cfRule type="cellIs" dxfId="2" priority="2" operator="lessThan">
      <formula>2</formula>
    </cfRule>
  </conditionalFormatting>
  <conditionalFormatting sqref="F2:F1048576">
    <cfRule type="cellIs" dxfId="0" priority="1" operator="greaterThan">
      <formula>2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5F07-D501-4D7A-B7A9-12B5E662485C}">
  <dimension ref="A1:B5"/>
  <sheetViews>
    <sheetView workbookViewId="0">
      <selection activeCell="B2" sqref="B2"/>
    </sheetView>
  </sheetViews>
  <sheetFormatPr defaultRowHeight="15.75"/>
  <cols>
    <col min="2" max="2" width="9.5" bestFit="1" customWidth="1"/>
  </cols>
  <sheetData>
    <row r="1" spans="1:2">
      <c r="A1" s="18" t="s">
        <v>198</v>
      </c>
      <c r="B1" s="18" t="s">
        <v>199</v>
      </c>
    </row>
    <row r="2" spans="1:2">
      <c r="A2" s="13" t="s">
        <v>0</v>
      </c>
      <c r="B2" s="13">
        <f>AVERAGEIF(Base_de_dados!$D$2:$D$937,"30-34",Análises!$F$2:$F$937)</f>
        <v>10.108209426969111</v>
      </c>
    </row>
    <row r="3" spans="1:2">
      <c r="A3" s="13" t="s">
        <v>2</v>
      </c>
      <c r="B3" s="13">
        <f>AVERAGEIF(Base_de_dados!$D$2:$D$937,"35-39",Análises!$F$2:$F$937)</f>
        <v>7.0856422571190585</v>
      </c>
    </row>
    <row r="4" spans="1:2">
      <c r="A4" s="13" t="s">
        <v>3</v>
      </c>
      <c r="B4" s="13">
        <f>AVERAGEIF(Base_de_dados!$D$2:$D$937,"40-44",Análises!$F$2:$F$937)</f>
        <v>4.7885586295176106</v>
      </c>
    </row>
    <row r="5" spans="1:2">
      <c r="A5" s="13" t="s">
        <v>4</v>
      </c>
      <c r="B5" s="13">
        <f>AVERAGEIF(Base_de_dados!$D$2:$D$937,"45-49",Análises!$F$2:$F$937)</f>
        <v>3.9843608230372065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2" sqref="B2"/>
    </sheetView>
  </sheetViews>
  <sheetFormatPr defaultColWidth="11" defaultRowHeight="15.75"/>
  <cols>
    <col min="1" max="1" width="28" bestFit="1" customWidth="1"/>
    <col min="2" max="2" width="31.875" customWidth="1"/>
  </cols>
  <sheetData>
    <row r="1" spans="1:2" ht="21">
      <c r="A1" s="1" t="s">
        <v>6</v>
      </c>
      <c r="B1" s="1" t="s">
        <v>9</v>
      </c>
    </row>
    <row r="2" spans="1:2">
      <c r="A2">
        <v>2</v>
      </c>
      <c r="B2" s="3" t="s">
        <v>10</v>
      </c>
    </row>
    <row r="3" spans="1:2">
      <c r="A3">
        <v>7</v>
      </c>
      <c r="B3" s="3"/>
    </row>
    <row r="4" spans="1:2">
      <c r="A4">
        <v>10</v>
      </c>
      <c r="B4" s="3"/>
    </row>
    <row r="5" spans="1:2">
      <c r="A5">
        <v>15</v>
      </c>
      <c r="B5" s="3"/>
    </row>
    <row r="6" spans="1:2">
      <c r="A6">
        <v>16</v>
      </c>
      <c r="B6" s="3" t="s">
        <v>28</v>
      </c>
    </row>
    <row r="7" spans="1:2">
      <c r="A7">
        <v>18</v>
      </c>
      <c r="B7" s="3"/>
    </row>
    <row r="8" spans="1:2">
      <c r="A8">
        <v>19</v>
      </c>
      <c r="B8" s="3"/>
    </row>
    <row r="9" spans="1:2">
      <c r="A9">
        <v>20</v>
      </c>
      <c r="B9" s="3"/>
    </row>
    <row r="10" spans="1:2">
      <c r="A10">
        <v>21</v>
      </c>
      <c r="B10" s="3" t="s">
        <v>70</v>
      </c>
    </row>
    <row r="11" spans="1:2">
      <c r="A11">
        <v>22</v>
      </c>
      <c r="B11" s="3"/>
    </row>
    <row r="12" spans="1:2">
      <c r="A12">
        <v>23</v>
      </c>
      <c r="B12" s="3"/>
    </row>
    <row r="13" spans="1:2">
      <c r="A13">
        <v>24</v>
      </c>
      <c r="B13" s="3"/>
    </row>
    <row r="14" spans="1:2">
      <c r="A14">
        <v>25</v>
      </c>
      <c r="B14" s="3" t="s">
        <v>72</v>
      </c>
    </row>
    <row r="15" spans="1:2">
      <c r="A15">
        <v>26</v>
      </c>
      <c r="B15" s="3"/>
    </row>
    <row r="16" spans="1:2">
      <c r="A16">
        <v>27</v>
      </c>
      <c r="B16" s="3"/>
    </row>
    <row r="17" spans="1:2">
      <c r="A17">
        <v>28</v>
      </c>
      <c r="B17" s="3"/>
    </row>
    <row r="18" spans="1:2">
      <c r="A18">
        <v>29</v>
      </c>
      <c r="B18" s="3" t="s">
        <v>76</v>
      </c>
    </row>
    <row r="19" spans="1:2">
      <c r="A19">
        <v>30</v>
      </c>
      <c r="B19" s="3"/>
    </row>
    <row r="20" spans="1:2">
      <c r="A20">
        <v>31</v>
      </c>
      <c r="B20" s="3"/>
    </row>
    <row r="21" spans="1:2">
      <c r="A21">
        <v>32</v>
      </c>
      <c r="B21" s="3"/>
    </row>
    <row r="22" spans="1:2">
      <c r="A22">
        <v>36</v>
      </c>
      <c r="B22" s="3" t="s">
        <v>96</v>
      </c>
    </row>
    <row r="23" spans="1:2">
      <c r="A23">
        <v>63</v>
      </c>
      <c r="B23" s="3"/>
    </row>
    <row r="24" spans="1:2">
      <c r="A24">
        <v>64</v>
      </c>
      <c r="B24" s="3"/>
    </row>
    <row r="25" spans="1:2">
      <c r="A25">
        <v>65</v>
      </c>
      <c r="B25" s="3"/>
    </row>
    <row r="26" spans="1:2">
      <c r="A26">
        <v>66</v>
      </c>
      <c r="B26" s="3" t="s">
        <v>123</v>
      </c>
    </row>
    <row r="27" spans="1:2">
      <c r="A27">
        <v>100</v>
      </c>
      <c r="B27" s="3"/>
    </row>
    <row r="28" spans="1:2">
      <c r="A28">
        <v>101</v>
      </c>
      <c r="B28" s="3"/>
    </row>
    <row r="29" spans="1:2">
      <c r="A29">
        <v>102</v>
      </c>
      <c r="B29" s="3"/>
    </row>
    <row r="30" spans="1:2">
      <c r="A30">
        <v>103</v>
      </c>
      <c r="B30" s="3" t="s">
        <v>135</v>
      </c>
    </row>
    <row r="31" spans="1:2">
      <c r="A31">
        <v>104</v>
      </c>
      <c r="B31" s="3"/>
    </row>
    <row r="32" spans="1:2">
      <c r="A32">
        <v>105</v>
      </c>
      <c r="B32" s="3"/>
    </row>
    <row r="33" spans="1:2">
      <c r="A33">
        <v>106</v>
      </c>
      <c r="B33" s="3"/>
    </row>
    <row r="34" spans="1:2">
      <c r="A34">
        <v>107</v>
      </c>
      <c r="B34" s="3" t="s">
        <v>140</v>
      </c>
    </row>
    <row r="35" spans="1:2">
      <c r="A35">
        <v>108</v>
      </c>
    </row>
    <row r="36" spans="1:2">
      <c r="A36">
        <v>109</v>
      </c>
    </row>
    <row r="37" spans="1:2">
      <c r="A37">
        <v>110</v>
      </c>
    </row>
    <row r="38" spans="1:2">
      <c r="A38">
        <v>111</v>
      </c>
    </row>
    <row r="39" spans="1:2">
      <c r="A39">
        <v>112</v>
      </c>
    </row>
    <row r="40" spans="1:2">
      <c r="A40">
        <v>113</v>
      </c>
    </row>
    <row r="41" spans="1:2">
      <c r="A41">
        <v>114</v>
      </c>
    </row>
  </sheetData>
  <sortState xmlns:xlrd2="http://schemas.microsoft.com/office/spreadsheetml/2017/richdata2" ref="A2:A41">
    <sortCondition ref="A2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2"/>
  <sheetViews>
    <sheetView topLeftCell="A21" workbookViewId="0">
      <selection activeCell="A13" sqref="A13"/>
    </sheetView>
  </sheetViews>
  <sheetFormatPr defaultColWidth="11" defaultRowHeight="15.75"/>
  <cols>
    <col min="1" max="1" width="147.5" bestFit="1" customWidth="1"/>
  </cols>
  <sheetData>
    <row r="1" spans="1:1">
      <c r="A1" s="3" t="s">
        <v>10</v>
      </c>
    </row>
    <row r="3" spans="1:1">
      <c r="A3" s="4" t="s">
        <v>11</v>
      </c>
    </row>
    <row r="5" spans="1:1">
      <c r="A5" s="4" t="s">
        <v>12</v>
      </c>
    </row>
    <row r="7" spans="1:1">
      <c r="A7" s="4" t="s">
        <v>13</v>
      </c>
    </row>
    <row r="9" spans="1:1">
      <c r="A9" s="4" t="s">
        <v>14</v>
      </c>
    </row>
    <row r="11" spans="1:1">
      <c r="A11" s="4" t="s">
        <v>15</v>
      </c>
    </row>
    <row r="13" spans="1:1">
      <c r="A13" s="4" t="s">
        <v>16</v>
      </c>
    </row>
    <row r="14" spans="1:1">
      <c r="A14" s="4" t="s">
        <v>17</v>
      </c>
    </row>
    <row r="16" spans="1:1">
      <c r="A16" s="4" t="s">
        <v>18</v>
      </c>
    </row>
    <row r="17" spans="1:1">
      <c r="A17" s="4" t="s">
        <v>19</v>
      </c>
    </row>
    <row r="18" spans="1:1">
      <c r="A18" s="4" t="s">
        <v>20</v>
      </c>
    </row>
    <row r="19" spans="1:1">
      <c r="A19" s="4" t="s">
        <v>21</v>
      </c>
    </row>
    <row r="21" spans="1:1">
      <c r="A21" s="4" t="s">
        <v>22</v>
      </c>
    </row>
    <row r="22" spans="1:1">
      <c r="A22" s="4" t="s">
        <v>23</v>
      </c>
    </row>
    <row r="24" spans="1:1">
      <c r="A24" s="4" t="s">
        <v>24</v>
      </c>
    </row>
    <row r="26" spans="1:1">
      <c r="A26" s="4" t="s">
        <v>25</v>
      </c>
    </row>
    <row r="28" spans="1:1">
      <c r="A28" s="4" t="s">
        <v>26</v>
      </c>
    </row>
    <row r="30" spans="1:1">
      <c r="A30" s="4" t="s">
        <v>27</v>
      </c>
    </row>
    <row r="32" spans="1:1">
      <c r="A32" s="3" t="s">
        <v>28</v>
      </c>
    </row>
    <row r="34" spans="1:1">
      <c r="A34" s="4" t="s">
        <v>29</v>
      </c>
    </row>
    <row r="35" spans="1:1">
      <c r="A35" s="4" t="s">
        <v>30</v>
      </c>
    </row>
    <row r="37" spans="1:1">
      <c r="A37" s="4" t="s">
        <v>31</v>
      </c>
    </row>
    <row r="38" spans="1:1">
      <c r="A38" s="4" t="s">
        <v>32</v>
      </c>
    </row>
    <row r="39" spans="1:1">
      <c r="A39" s="4" t="s">
        <v>33</v>
      </c>
    </row>
    <row r="40" spans="1:1">
      <c r="A40" s="4" t="s">
        <v>34</v>
      </c>
    </row>
    <row r="41" spans="1:1">
      <c r="A41" s="4" t="s">
        <v>35</v>
      </c>
    </row>
    <row r="43" spans="1:1">
      <c r="A43" s="4" t="s">
        <v>36</v>
      </c>
    </row>
    <row r="44" spans="1:1">
      <c r="A44" s="4" t="s">
        <v>37</v>
      </c>
    </row>
    <row r="45" spans="1:1">
      <c r="A45" s="4" t="s">
        <v>38</v>
      </c>
    </row>
    <row r="46" spans="1:1">
      <c r="A46" s="4" t="s">
        <v>39</v>
      </c>
    </row>
    <row r="47" spans="1:1">
      <c r="A47" s="4" t="s">
        <v>40</v>
      </c>
    </row>
    <row r="48" spans="1:1">
      <c r="A48" s="4" t="s">
        <v>41</v>
      </c>
    </row>
    <row r="49" spans="1:1">
      <c r="A49" s="4" t="s">
        <v>42</v>
      </c>
    </row>
    <row r="50" spans="1:1">
      <c r="A50" s="4" t="s">
        <v>43</v>
      </c>
    </row>
    <row r="51" spans="1:1">
      <c r="A51" s="4" t="s">
        <v>44</v>
      </c>
    </row>
    <row r="52" spans="1:1">
      <c r="A52" s="4" t="s">
        <v>45</v>
      </c>
    </row>
    <row r="53" spans="1:1">
      <c r="A53" s="4" t="s">
        <v>46</v>
      </c>
    </row>
    <row r="54" spans="1:1">
      <c r="A54" s="4" t="s">
        <v>47</v>
      </c>
    </row>
    <row r="56" spans="1:1">
      <c r="A56" s="4" t="s">
        <v>48</v>
      </c>
    </row>
    <row r="58" spans="1:1">
      <c r="A58" s="4" t="s">
        <v>49</v>
      </c>
    </row>
    <row r="59" spans="1:1">
      <c r="A59" s="4" t="s">
        <v>50</v>
      </c>
    </row>
    <row r="60" spans="1:1">
      <c r="A60" s="4" t="s">
        <v>51</v>
      </c>
    </row>
    <row r="61" spans="1:1">
      <c r="A61" s="4" t="s">
        <v>52</v>
      </c>
    </row>
    <row r="63" spans="1:1">
      <c r="A63" s="4" t="s">
        <v>53</v>
      </c>
    </row>
    <row r="64" spans="1:1">
      <c r="A64" s="4" t="s">
        <v>54</v>
      </c>
    </row>
    <row r="66" spans="1:1">
      <c r="A66" s="4" t="s">
        <v>55</v>
      </c>
    </row>
    <row r="68" spans="1:1">
      <c r="A68" s="4" t="s">
        <v>56</v>
      </c>
    </row>
    <row r="70" spans="1:1">
      <c r="A70" s="4" t="s">
        <v>57</v>
      </c>
    </row>
    <row r="72" spans="1:1">
      <c r="A72" s="4" t="s">
        <v>58</v>
      </c>
    </row>
    <row r="73" spans="1:1">
      <c r="A73" s="4" t="s">
        <v>59</v>
      </c>
    </row>
    <row r="74" spans="1:1">
      <c r="A74" s="4" t="s">
        <v>60</v>
      </c>
    </row>
    <row r="75" spans="1:1">
      <c r="A75" s="4" t="s">
        <v>61</v>
      </c>
    </row>
    <row r="77" spans="1:1">
      <c r="A77" s="4" t="s">
        <v>62</v>
      </c>
    </row>
    <row r="79" spans="1:1">
      <c r="A79" s="4" t="s">
        <v>63</v>
      </c>
    </row>
    <row r="80" spans="1:1">
      <c r="A80" s="4" t="s">
        <v>64</v>
      </c>
    </row>
    <row r="81" spans="1:1">
      <c r="A81" s="4" t="s">
        <v>65</v>
      </c>
    </row>
    <row r="82" spans="1:1">
      <c r="A82" s="4" t="s">
        <v>66</v>
      </c>
    </row>
    <row r="84" spans="1:1">
      <c r="A84" s="4" t="s">
        <v>67</v>
      </c>
    </row>
    <row r="85" spans="1:1">
      <c r="A85" s="4" t="s">
        <v>68</v>
      </c>
    </row>
    <row r="87" spans="1:1">
      <c r="A87" s="4" t="s">
        <v>69</v>
      </c>
    </row>
    <row r="89" spans="1:1">
      <c r="A89" s="3" t="s">
        <v>70</v>
      </c>
    </row>
    <row r="91" spans="1:1">
      <c r="A91" s="4" t="s">
        <v>71</v>
      </c>
    </row>
    <row r="93" spans="1:1">
      <c r="A93" s="3" t="s">
        <v>72</v>
      </c>
    </row>
    <row r="95" spans="1:1">
      <c r="A95" s="4" t="s">
        <v>73</v>
      </c>
    </row>
    <row r="97" spans="1:1">
      <c r="A97" s="4" t="s">
        <v>74</v>
      </c>
    </row>
    <row r="98" spans="1:1">
      <c r="A98" s="4" t="s">
        <v>75</v>
      </c>
    </row>
    <row r="100" spans="1:1">
      <c r="A100" s="3" t="s">
        <v>76</v>
      </c>
    </row>
    <row r="102" spans="1:1">
      <c r="A102" s="4" t="s">
        <v>77</v>
      </c>
    </row>
    <row r="104" spans="1:1">
      <c r="A104" s="4" t="s">
        <v>78</v>
      </c>
    </row>
    <row r="106" spans="1:1">
      <c r="A106" s="4" t="s">
        <v>79</v>
      </c>
    </row>
    <row r="108" spans="1:1">
      <c r="A108" s="4" t="s">
        <v>80</v>
      </c>
    </row>
    <row r="109" spans="1:1">
      <c r="A109" s="4" t="s">
        <v>81</v>
      </c>
    </row>
    <row r="111" spans="1:1">
      <c r="A111" s="4" t="s">
        <v>82</v>
      </c>
    </row>
    <row r="113" spans="1:1">
      <c r="A113" s="4" t="s">
        <v>83</v>
      </c>
    </row>
    <row r="115" spans="1:1">
      <c r="A115" s="4" t="s">
        <v>84</v>
      </c>
    </row>
    <row r="116" spans="1:1">
      <c r="A116" s="4" t="s">
        <v>85</v>
      </c>
    </row>
    <row r="117" spans="1:1">
      <c r="A117" s="4" t="s">
        <v>86</v>
      </c>
    </row>
    <row r="118" spans="1:1">
      <c r="A118" s="4" t="s">
        <v>87</v>
      </c>
    </row>
    <row r="119" spans="1:1">
      <c r="A119" s="4" t="s">
        <v>88</v>
      </c>
    </row>
    <row r="121" spans="1:1">
      <c r="A121" s="4" t="s">
        <v>89</v>
      </c>
    </row>
    <row r="123" spans="1:1">
      <c r="A123" s="4" t="s">
        <v>90</v>
      </c>
    </row>
    <row r="125" spans="1:1">
      <c r="A125" s="4" t="s">
        <v>91</v>
      </c>
    </row>
    <row r="126" spans="1:1">
      <c r="A126" s="4" t="s">
        <v>92</v>
      </c>
    </row>
    <row r="128" spans="1:1">
      <c r="A128" s="4" t="s">
        <v>93</v>
      </c>
    </row>
    <row r="130" spans="1:1">
      <c r="A130" s="4" t="s">
        <v>94</v>
      </c>
    </row>
    <row r="131" spans="1:1">
      <c r="A131" s="4" t="s">
        <v>95</v>
      </c>
    </row>
    <row r="133" spans="1:1">
      <c r="A133" s="3" t="s">
        <v>96</v>
      </c>
    </row>
    <row r="135" spans="1:1">
      <c r="A135" s="4" t="s">
        <v>97</v>
      </c>
    </row>
    <row r="137" spans="1:1">
      <c r="A137" s="4" t="s">
        <v>98</v>
      </c>
    </row>
    <row r="138" spans="1:1">
      <c r="A138" s="4" t="s">
        <v>99</v>
      </c>
    </row>
    <row r="139" spans="1:1">
      <c r="A139" s="4" t="s">
        <v>100</v>
      </c>
    </row>
    <row r="140" spans="1:1">
      <c r="A140" s="4" t="s">
        <v>101</v>
      </c>
    </row>
    <row r="142" spans="1:1">
      <c r="A142" s="4" t="s">
        <v>102</v>
      </c>
    </row>
    <row r="144" spans="1:1">
      <c r="A144" s="4" t="s">
        <v>103</v>
      </c>
    </row>
    <row r="145" spans="1:1">
      <c r="A145" s="4" t="s">
        <v>104</v>
      </c>
    </row>
    <row r="147" spans="1:1">
      <c r="A147" s="4" t="s">
        <v>105</v>
      </c>
    </row>
    <row r="148" spans="1:1">
      <c r="A148" s="4" t="s">
        <v>106</v>
      </c>
    </row>
    <row r="150" spans="1:1">
      <c r="A150" s="4" t="s">
        <v>107</v>
      </c>
    </row>
    <row r="151" spans="1:1">
      <c r="A151" s="4" t="s">
        <v>108</v>
      </c>
    </row>
    <row r="153" spans="1:1">
      <c r="A153" s="4" t="s">
        <v>109</v>
      </c>
    </row>
    <row r="155" spans="1:1">
      <c r="A155" s="4" t="s">
        <v>110</v>
      </c>
    </row>
    <row r="157" spans="1:1">
      <c r="A157" s="4" t="s">
        <v>111</v>
      </c>
    </row>
    <row r="158" spans="1:1">
      <c r="A158" s="4" t="s">
        <v>112</v>
      </c>
    </row>
    <row r="160" spans="1:1">
      <c r="A160" s="4" t="s">
        <v>113</v>
      </c>
    </row>
    <row r="162" spans="1:1">
      <c r="A162" s="4" t="s">
        <v>114</v>
      </c>
    </row>
    <row r="164" spans="1:1">
      <c r="A164" s="4" t="s">
        <v>115</v>
      </c>
    </row>
    <row r="166" spans="1:1">
      <c r="A166" s="4" t="s">
        <v>116</v>
      </c>
    </row>
    <row r="167" spans="1:1">
      <c r="A167" s="4" t="s">
        <v>117</v>
      </c>
    </row>
    <row r="169" spans="1:1">
      <c r="A169" s="4" t="s">
        <v>118</v>
      </c>
    </row>
    <row r="171" spans="1:1">
      <c r="A171" s="4" t="s">
        <v>119</v>
      </c>
    </row>
    <row r="173" spans="1:1">
      <c r="A173" s="4" t="s">
        <v>120</v>
      </c>
    </row>
    <row r="174" spans="1:1">
      <c r="A174" s="4" t="s">
        <v>121</v>
      </c>
    </row>
    <row r="175" spans="1:1">
      <c r="A175" s="4" t="s">
        <v>122</v>
      </c>
    </row>
    <row r="177" spans="1:1">
      <c r="A177" s="3" t="s">
        <v>123</v>
      </c>
    </row>
    <row r="179" spans="1:1">
      <c r="A179" s="4" t="s">
        <v>124</v>
      </c>
    </row>
    <row r="180" spans="1:1">
      <c r="A180" s="4" t="s">
        <v>125</v>
      </c>
    </row>
    <row r="182" spans="1:1">
      <c r="A182" s="4" t="s">
        <v>126</v>
      </c>
    </row>
    <row r="184" spans="1:1">
      <c r="A184" s="4" t="s">
        <v>127</v>
      </c>
    </row>
    <row r="186" spans="1:1">
      <c r="A186" s="4" t="s">
        <v>128</v>
      </c>
    </row>
    <row r="187" spans="1:1">
      <c r="A187" s="4" t="s">
        <v>129</v>
      </c>
    </row>
    <row r="189" spans="1:1">
      <c r="A189" s="4" t="s">
        <v>130</v>
      </c>
    </row>
    <row r="191" spans="1:1">
      <c r="A191" s="4" t="s">
        <v>131</v>
      </c>
    </row>
    <row r="193" spans="1:1">
      <c r="A193" s="4" t="s">
        <v>132</v>
      </c>
    </row>
    <row r="195" spans="1:1">
      <c r="A195" s="4" t="s">
        <v>133</v>
      </c>
    </row>
    <row r="197" spans="1:1">
      <c r="A197" s="4" t="s">
        <v>134</v>
      </c>
    </row>
    <row r="199" spans="1:1">
      <c r="A199" s="3" t="s">
        <v>135</v>
      </c>
    </row>
    <row r="201" spans="1:1">
      <c r="A201" s="4" t="s">
        <v>136</v>
      </c>
    </row>
    <row r="203" spans="1:1">
      <c r="A203" s="4" t="s">
        <v>137</v>
      </c>
    </row>
    <row r="205" spans="1:1">
      <c r="A205" s="4" t="s">
        <v>138</v>
      </c>
    </row>
    <row r="206" spans="1:1">
      <c r="A206" s="4" t="s">
        <v>139</v>
      </c>
    </row>
    <row r="208" spans="1:1">
      <c r="A208" s="3" t="s">
        <v>140</v>
      </c>
    </row>
    <row r="210" spans="1:1">
      <c r="A210" s="4" t="s">
        <v>141</v>
      </c>
    </row>
    <row r="211" spans="1:1">
      <c r="A211" s="4" t="s">
        <v>142</v>
      </c>
    </row>
    <row r="212" spans="1:1">
      <c r="A212" s="4" t="s">
        <v>143</v>
      </c>
    </row>
    <row r="214" spans="1:1">
      <c r="A214" s="4" t="s">
        <v>144</v>
      </c>
    </row>
    <row r="215" spans="1:1">
      <c r="A215" s="4" t="s">
        <v>145</v>
      </c>
    </row>
    <row r="217" spans="1:1">
      <c r="A217" s="4" t="s">
        <v>146</v>
      </c>
    </row>
    <row r="218" spans="1:1">
      <c r="A218" s="4" t="s">
        <v>147</v>
      </c>
    </row>
    <row r="220" spans="1:1">
      <c r="A220" s="4" t="s">
        <v>148</v>
      </c>
    </row>
    <row r="222" spans="1:1">
      <c r="A222" s="4" t="s">
        <v>149</v>
      </c>
    </row>
    <row r="223" spans="1:1">
      <c r="A223" s="4" t="s">
        <v>150</v>
      </c>
    </row>
    <row r="225" spans="1:1">
      <c r="A225" s="4" t="s">
        <v>151</v>
      </c>
    </row>
    <row r="227" spans="1:1">
      <c r="A227" s="4" t="s">
        <v>152</v>
      </c>
    </row>
    <row r="228" spans="1:1">
      <c r="A228" s="4" t="s">
        <v>153</v>
      </c>
    </row>
    <row r="229" spans="1:1">
      <c r="A229" s="4" t="s">
        <v>154</v>
      </c>
    </row>
    <row r="230" spans="1:1">
      <c r="A230" s="4" t="s">
        <v>155</v>
      </c>
    </row>
    <row r="231" spans="1:1">
      <c r="A231" s="4" t="s">
        <v>156</v>
      </c>
    </row>
    <row r="232" spans="1:1">
      <c r="A232" s="4" t="s">
        <v>157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Base_de_dados</vt:lpstr>
      <vt:lpstr>Análises</vt:lpstr>
      <vt:lpstr>Check_duplicidade_faixa_etaria</vt:lpstr>
      <vt:lpstr>depara_categoria</vt:lpstr>
      <vt:lpstr>Planilha8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João Bianchi</cp:lastModifiedBy>
  <dcterms:created xsi:type="dcterms:W3CDTF">2019-09-15T19:47:38Z</dcterms:created>
  <dcterms:modified xsi:type="dcterms:W3CDTF">2025-11-16T17:38:36Z</dcterms:modified>
</cp:coreProperties>
</file>